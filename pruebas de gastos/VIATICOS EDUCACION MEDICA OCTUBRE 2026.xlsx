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a41.ASOKAM\Desktop\VIATICOS OCTUBRE\VIATICOS EDUCACION MEDICA\"/>
    </mc:Choice>
  </mc:AlternateContent>
  <bookViews>
    <workbookView xWindow="0" yWindow="0" windowWidth="13260" windowHeight="4800"/>
  </bookViews>
  <sheets>
    <sheet name="ASK-ADM-FOR-VIATICOS SEPTIEMBRE" sheetId="1" r:id="rId1"/>
  </sheets>
  <definedNames>
    <definedName name="_xlnm._FilterDatabase" localSheetId="0" hidden="1">'ASK-ADM-FOR-VIATICOS SEPTIEMBRE'!$B$7:$AF$28</definedName>
    <definedName name="_xlnm.Print_Area" localSheetId="0">'ASK-ADM-FOR-VIATICOS SEPTIEMBRE'!$A$1:$AC$37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28" i="1" l="1"/>
  <c r="AA28" i="1"/>
  <c r="Z28" i="1"/>
  <c r="X28" i="1"/>
  <c r="V28" i="1"/>
  <c r="T28" i="1"/>
  <c r="AC12" i="1" l="1"/>
  <c r="AC8" i="1" l="1"/>
  <c r="AC11" i="1"/>
  <c r="AC16" i="1"/>
  <c r="AC14" i="1" l="1"/>
  <c r="AC10" i="1" l="1"/>
  <c r="Y28" i="1" l="1"/>
  <c r="AC26" i="1" l="1"/>
  <c r="AC21" i="1" l="1"/>
  <c r="AC18" i="1" l="1"/>
  <c r="AC24" i="1" l="1"/>
  <c r="AC27" i="1" l="1"/>
  <c r="AC23" i="1" l="1"/>
  <c r="AC17" i="1" l="1"/>
  <c r="AC20" i="1" l="1"/>
  <c r="AC15" i="1"/>
  <c r="AC19" i="1" l="1"/>
  <c r="AC25" i="1" l="1"/>
  <c r="AC9" i="1" l="1"/>
  <c r="AC13" i="1" l="1"/>
  <c r="AC22" i="1" l="1"/>
  <c r="AC28" i="1"/>
</calcChain>
</file>

<file path=xl/sharedStrings.xml><?xml version="1.0" encoding="utf-8"?>
<sst xmlns="http://schemas.openxmlformats.org/spreadsheetml/2006/main" count="122" uniqueCount="83">
  <si>
    <t>Concentrado de Viáticos</t>
  </si>
  <si>
    <t>Nombre:</t>
  </si>
  <si>
    <t>Gerencia:</t>
  </si>
  <si>
    <t>EDUCACION MEDICA</t>
  </si>
  <si>
    <t>Fecha:</t>
  </si>
  <si>
    <t>No.</t>
  </si>
  <si>
    <t>Solicitante</t>
  </si>
  <si>
    <t>Fecha</t>
  </si>
  <si>
    <t>Origen</t>
  </si>
  <si>
    <t>Destino</t>
  </si>
  <si>
    <t>Transporte</t>
  </si>
  <si>
    <t>Automovil propio</t>
  </si>
  <si>
    <t>Hospedaje</t>
  </si>
  <si>
    <t>Comida</t>
  </si>
  <si>
    <t>Taxi</t>
  </si>
  <si>
    <t>Total</t>
  </si>
  <si>
    <t>Costo boleto
Autobús</t>
  </si>
  <si>
    <t>Costo boleto
Avión</t>
  </si>
  <si>
    <t>Gasolina</t>
  </si>
  <si>
    <t>Casetas</t>
  </si>
  <si>
    <t xml:space="preserve">PUESTO </t>
  </si>
  <si>
    <t>FIRMA</t>
  </si>
  <si>
    <t>FECHA</t>
  </si>
  <si>
    <t>REVISÓ</t>
  </si>
  <si>
    <t>AUTORIZÓ</t>
  </si>
  <si>
    <t>Dirección Corporativa</t>
  </si>
  <si>
    <t>Lic. Héctor Vélez Rivera</t>
  </si>
  <si>
    <t xml:space="preserve">ASK-ADM-FOR-008 </t>
  </si>
  <si>
    <t>Versió:01</t>
  </si>
  <si>
    <t>Prohibida su reproducción no autorizada</t>
  </si>
  <si>
    <t>Página 1 de 1</t>
  </si>
  <si>
    <t>DANIEL PADILLA</t>
  </si>
  <si>
    <t>CESAR MARTIN GARCIA ALONSO</t>
  </si>
  <si>
    <t xml:space="preserve">COMIDA </t>
  </si>
  <si>
    <t>HOSPEDAJE</t>
  </si>
  <si>
    <t>JUAN PABLO PEÑA PORTILLO</t>
  </si>
  <si>
    <t>#Firmad</t>
  </si>
  <si>
    <t>SANTIAGO GARCIA GUTIERREZ</t>
  </si>
  <si>
    <t>Gerente General</t>
  </si>
  <si>
    <t>Luis Pozo  Urquizo</t>
  </si>
  <si>
    <t xml:space="preserve">Gerente de Administración y Finanzas </t>
  </si>
  <si>
    <t>Diego Angel Villaseñor Garduño</t>
  </si>
  <si>
    <t xml:space="preserve">Erick Israel Aguilera Diaz </t>
  </si>
  <si>
    <t>Coordinador Administrativo</t>
  </si>
  <si>
    <t>ROBERTO CRUZ GUERERO</t>
  </si>
  <si>
    <t>07/10/2026 AL
09/10/2026</t>
  </si>
  <si>
    <t>CDMX</t>
  </si>
  <si>
    <t>ORIZABA  
CÓRDOBA
XALAPA
VERACRUZ</t>
  </si>
  <si>
    <t>.+</t>
  </si>
  <si>
    <t>13/10/2026 AL
16/10/2026</t>
  </si>
  <si>
    <t xml:space="preserve">DURANGO ZACATECAS AGUACALIENTES </t>
  </si>
  <si>
    <t>19/10/2026 AL
20/10/2026</t>
  </si>
  <si>
    <t>MANZANILLO COLIMA</t>
  </si>
  <si>
    <t>22/10/2026 AL
23/10/2026</t>
  </si>
  <si>
    <t xml:space="preserve">ZITÁCUARO
MORELIA </t>
  </si>
  <si>
    <t>27/10/2026 AL
30/10/2026</t>
  </si>
  <si>
    <t>TIJUANA 
MEXICALI</t>
  </si>
  <si>
    <t>HERMOSILLO
OBREGÓN</t>
  </si>
  <si>
    <t xml:space="preserve">CUERNAVACA </t>
  </si>
  <si>
    <t>27/10/2026 AL 
28/10/2026</t>
  </si>
  <si>
    <t>METEPEC
ATLACOMULCO
TOLUCA</t>
  </si>
  <si>
    <t>05/10/2026 AL
09/10/2026</t>
  </si>
  <si>
    <t>CANCÚN
 PLAYA DEL CARMEN
CANCÚN</t>
  </si>
  <si>
    <t>12/10/2026 AL
16/10/2026</t>
  </si>
  <si>
    <t>MONTERREY NUEVO LAREDO
MONTERREY</t>
  </si>
  <si>
    <t>19/10/2026 AL 
23/10/2026</t>
  </si>
  <si>
    <t xml:space="preserve">VERACRUZ 
CARDEL 
VERACRUZ
CÓRDOBA
XALAPA </t>
  </si>
  <si>
    <t>26/10/2026 AL
30/10/2026</t>
  </si>
  <si>
    <t>MONTERREY 
CD. VICTORIA
MONCLOVA
MONTERREY</t>
  </si>
  <si>
    <t>TOLUCA</t>
  </si>
  <si>
    <t>12/10/2026 AL
14/10/2026</t>
  </si>
  <si>
    <t>LOS MOCHIS
GUASAVE
CULIACÁN
MAZATLÁN</t>
  </si>
  <si>
    <t>15/10/2026 AL
16/10/2026</t>
  </si>
  <si>
    <t xml:space="preserve">OAXACA </t>
  </si>
  <si>
    <t>20/10/2026 AL
21/10/2026</t>
  </si>
  <si>
    <t>TAMPICO</t>
  </si>
  <si>
    <t>26/10/2026 AL 
27/10/2026</t>
  </si>
  <si>
    <t xml:space="preserve">VILLAHERMOSA TUXTLA </t>
  </si>
  <si>
    <t>29/10/2026 AL 
30/10/2026</t>
  </si>
  <si>
    <t xml:space="preserve"> VERACRUZ XALAPA</t>
  </si>
  <si>
    <t>ANGEL REMEDIOS CADENA BARRERA</t>
  </si>
  <si>
    <t>PUEBLA</t>
  </si>
  <si>
    <t>PACHUCA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</si>
</sst>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* #,##0.00_-;\-&quot;$&quot;* #,##0.00_-;_-&quot;$&quot;* &quot;-&quot;??_-;_-@_-"/>
    <numFmt numFmtId="164" formatCode="#,##0.00&quot; &quot;;#,##0.00&quot; &quot;;&quot;-&quot;#&quot; &quot;;&quot; &quot;@&quot; &quot;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12"/>
      <color theme="1"/>
      <name val="Arial"/>
      <family val="2"/>
    </font>
    <font>
      <b/>
      <sz val="22"/>
      <name val="Arial"/>
      <family val="2"/>
    </font>
    <font>
      <sz val="26"/>
      <name val="Arial"/>
      <family val="2"/>
    </font>
    <font>
      <b/>
      <sz val="26"/>
      <name val="Arial"/>
      <family val="2"/>
    </font>
    <font>
      <sz val="26"/>
      <color theme="1"/>
      <name val="Arial"/>
      <family val="2"/>
    </font>
    <font>
      <b/>
      <sz val="26"/>
      <color theme="0"/>
      <name val="Arial"/>
      <family val="2"/>
    </font>
    <font>
      <sz val="11"/>
      <color rgb="FF000000"/>
      <name val="Liberation Sans"/>
    </font>
    <font>
      <b/>
      <sz val="20"/>
      <name val="Arial"/>
      <family val="2"/>
    </font>
    <font>
      <b/>
      <sz val="36"/>
      <color theme="1"/>
      <name val="Arial"/>
      <family val="2"/>
    </font>
    <font>
      <b/>
      <sz val="36"/>
      <name val="Arial"/>
      <family val="2"/>
    </font>
    <font>
      <sz val="36"/>
      <color theme="1"/>
      <name val="Arial"/>
      <family val="2"/>
    </font>
    <font>
      <sz val="36"/>
      <name val="Arial"/>
      <family val="2"/>
    </font>
    <font>
      <sz val="48"/>
      <name val="Arial"/>
      <family val="2"/>
    </font>
    <font>
      <b/>
      <sz val="48"/>
      <name val="Arial"/>
      <family val="2"/>
    </font>
    <font>
      <b/>
      <sz val="48"/>
      <color theme="0"/>
      <name val="Arial"/>
      <family val="2"/>
    </font>
    <font>
      <b/>
      <sz val="48"/>
      <color theme="1"/>
      <name val="Arial"/>
      <family val="2"/>
    </font>
    <font>
      <sz val="48"/>
      <color theme="1"/>
      <name val="Arial"/>
      <family val="2"/>
    </font>
    <font>
      <b/>
      <sz val="48"/>
      <color rgb="FFFF0000"/>
      <name val="Arial"/>
      <family val="2"/>
    </font>
    <font>
      <b/>
      <sz val="48"/>
      <color theme="4"/>
      <name val="Arial"/>
      <family val="2"/>
    </font>
    <font>
      <sz val="65"/>
      <name val="Arial"/>
      <family val="2"/>
    </font>
    <font>
      <b/>
      <sz val="65"/>
      <color theme="1"/>
      <name val="Arial"/>
      <family val="2"/>
    </font>
    <font>
      <b/>
      <sz val="65"/>
      <name val="Arial"/>
      <family val="2"/>
    </font>
    <font>
      <sz val="65"/>
      <color theme="1"/>
      <name val="Arial"/>
      <family val="2"/>
    </font>
    <font>
      <sz val="28"/>
      <color theme="1"/>
      <name val="Arial"/>
      <family val="2"/>
    </font>
    <font>
      <sz val="28"/>
      <name val="Arial"/>
      <family val="2"/>
    </font>
    <font>
      <b/>
      <sz val="28"/>
      <color rgb="FFFF0000"/>
      <name val="Arial"/>
      <family val="2"/>
    </font>
    <font>
      <b/>
      <sz val="28"/>
      <name val="Arial"/>
      <family val="2"/>
    </font>
    <font>
      <b/>
      <sz val="28"/>
      <color theme="0"/>
      <name val="Arial"/>
      <family val="2"/>
    </font>
    <font>
      <sz val="2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6">
    <xf numFmtId="0" fontId="0" fillId="0" borderId="0"/>
    <xf numFmtId="44" fontId="1" fillId="0" borderId="0" applyFont="0" applyFill="0" applyBorder="0" applyAlignment="0" applyProtection="0"/>
    <xf numFmtId="0" fontId="3" fillId="0" borderId="0"/>
    <xf numFmtId="44" fontId="1" fillId="0" borderId="0" applyFont="0" applyFill="0" applyBorder="0" applyAlignment="0" applyProtection="0"/>
    <xf numFmtId="164" fontId="15" fillId="0" borderId="0" applyFont="0" applyBorder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22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 textRotation="180" wrapText="1"/>
    </xf>
    <xf numFmtId="0" fontId="5" fillId="0" borderId="0" xfId="0" applyFont="1" applyAlignment="1">
      <alignment horizontal="center"/>
    </xf>
    <xf numFmtId="16" fontId="5" fillId="0" borderId="0" xfId="0" applyNumberFormat="1" applyFont="1" applyAlignment="1">
      <alignment horizont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wrapText="1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4" fillId="0" borderId="0" xfId="0" applyFont="1"/>
    <xf numFmtId="14" fontId="7" fillId="0" borderId="0" xfId="2" applyNumberFormat="1" applyFont="1" applyAlignment="1">
      <alignment horizontal="center" vertical="center"/>
    </xf>
    <xf numFmtId="14" fontId="7" fillId="0" borderId="0" xfId="2" applyNumberFormat="1" applyFont="1" applyAlignment="1">
      <alignment vertical="center"/>
    </xf>
    <xf numFmtId="0" fontId="9" fillId="0" borderId="0" xfId="0" applyFont="1"/>
    <xf numFmtId="0" fontId="10" fillId="0" borderId="0" xfId="2" applyFont="1" applyAlignment="1">
      <alignment horizontal="left"/>
    </xf>
    <xf numFmtId="0" fontId="11" fillId="0" borderId="6" xfId="2" applyFont="1" applyBorder="1" applyAlignment="1">
      <alignment vertical="center"/>
    </xf>
    <xf numFmtId="0" fontId="12" fillId="0" borderId="7" xfId="2" applyFont="1" applyBorder="1" applyAlignment="1">
      <alignment horizontal="center" vertical="center"/>
    </xf>
    <xf numFmtId="0" fontId="13" fillId="0" borderId="7" xfId="0" applyFont="1" applyBorder="1"/>
    <xf numFmtId="0" fontId="12" fillId="0" borderId="8" xfId="2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right"/>
    </xf>
    <xf numFmtId="1" fontId="16" fillId="0" borderId="15" xfId="1" applyNumberFormat="1" applyFont="1" applyFill="1" applyBorder="1" applyAlignment="1">
      <alignment vertical="center"/>
    </xf>
    <xf numFmtId="1" fontId="16" fillId="0" borderId="0" xfId="1" applyNumberFormat="1" applyFont="1" applyFill="1" applyBorder="1" applyAlignment="1">
      <alignment vertical="center"/>
    </xf>
    <xf numFmtId="1" fontId="16" fillId="0" borderId="15" xfId="1" applyNumberFormat="1" applyFont="1" applyFill="1" applyBorder="1" applyAlignment="1">
      <alignment horizontal="center" vertical="center"/>
    </xf>
    <xf numFmtId="1" fontId="16" fillId="0" borderId="0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/>
    <xf numFmtId="0" fontId="17" fillId="0" borderId="0" xfId="0" applyFont="1" applyAlignment="1">
      <alignment vertical="center"/>
    </xf>
    <xf numFmtId="0" fontId="17" fillId="0" borderId="0" xfId="0" applyFont="1"/>
    <xf numFmtId="0" fontId="18" fillId="0" borderId="0" xfId="2" applyFont="1" applyAlignment="1">
      <alignment horizontal="right"/>
    </xf>
    <xf numFmtId="0" fontId="20" fillId="0" borderId="0" xfId="2" applyFont="1" applyAlignment="1">
      <alignment horizontal="center" wrapText="1"/>
    </xf>
    <xf numFmtId="14" fontId="22" fillId="0" borderId="2" xfId="2" applyNumberFormat="1" applyFont="1" applyBorder="1" applyAlignment="1">
      <alignment horizontal="center" vertical="center"/>
    </xf>
    <xf numFmtId="0" fontId="14" fillId="3" borderId="7" xfId="2" applyFont="1" applyFill="1" applyBorder="1" applyAlignment="1">
      <alignment horizontal="center" vertical="center"/>
    </xf>
    <xf numFmtId="0" fontId="25" fillId="0" borderId="0" xfId="0" applyFont="1"/>
    <xf numFmtId="0" fontId="21" fillId="0" borderId="1" xfId="2" applyFont="1" applyBorder="1"/>
    <xf numFmtId="0" fontId="24" fillId="0" borderId="0" xfId="0" applyFont="1"/>
    <xf numFmtId="0" fontId="25" fillId="0" borderId="1" xfId="0" applyFont="1" applyBorder="1"/>
    <xf numFmtId="0" fontId="22" fillId="0" borderId="0" xfId="2" applyFont="1" applyAlignment="1">
      <alignment horizontal="right"/>
    </xf>
    <xf numFmtId="17" fontId="21" fillId="0" borderId="1" xfId="2" applyNumberFormat="1" applyFont="1" applyBorder="1"/>
    <xf numFmtId="0" fontId="26" fillId="0" borderId="1" xfId="2" applyFont="1" applyBorder="1"/>
    <xf numFmtId="0" fontId="27" fillId="0" borderId="0" xfId="0" applyFont="1" applyAlignment="1">
      <alignment horizontal="right" vertical="center"/>
    </xf>
    <xf numFmtId="1" fontId="18" fillId="0" borderId="15" xfId="1" applyNumberFormat="1" applyFont="1" applyFill="1" applyBorder="1" applyAlignment="1">
      <alignment horizontal="center" vertical="center"/>
    </xf>
    <xf numFmtId="1" fontId="18" fillId="0" borderId="0" xfId="1" applyNumberFormat="1" applyFont="1" applyFill="1" applyBorder="1" applyAlignment="1">
      <alignment horizontal="center" vertical="center"/>
    </xf>
    <xf numFmtId="0" fontId="29" fillId="2" borderId="8" xfId="0" applyFont="1" applyFill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/>
    </xf>
    <xf numFmtId="44" fontId="28" fillId="0" borderId="2" xfId="1" applyFont="1" applyBorder="1" applyAlignment="1">
      <alignment horizontal="center" vertical="center" wrapText="1"/>
    </xf>
    <xf numFmtId="44" fontId="28" fillId="0" borderId="7" xfId="1" applyFont="1" applyBorder="1" applyAlignment="1">
      <alignment horizontal="center" vertical="center" wrapText="1"/>
    </xf>
    <xf numFmtId="44" fontId="31" fillId="0" borderId="2" xfId="1" applyFont="1" applyBorder="1" applyAlignment="1">
      <alignment vertical="center"/>
    </xf>
    <xf numFmtId="44" fontId="29" fillId="0" borderId="2" xfId="1" applyFont="1" applyBorder="1"/>
    <xf numFmtId="0" fontId="31" fillId="0" borderId="0" xfId="0" applyFont="1" applyAlignment="1">
      <alignment horizontal="center" vertical="center" textRotation="180" wrapText="1"/>
    </xf>
    <xf numFmtId="0" fontId="31" fillId="0" borderId="0" xfId="0" applyFont="1" applyAlignment="1">
      <alignment horizontal="center"/>
    </xf>
    <xf numFmtId="16" fontId="31" fillId="0" borderId="0" xfId="0" applyNumberFormat="1" applyFont="1" applyAlignment="1">
      <alignment horizontal="center"/>
    </xf>
    <xf numFmtId="0" fontId="31" fillId="0" borderId="0" xfId="0" applyFont="1" applyAlignment="1">
      <alignment vertical="center"/>
    </xf>
    <xf numFmtId="0" fontId="31" fillId="0" borderId="0" xfId="0" applyFont="1"/>
    <xf numFmtId="0" fontId="31" fillId="0" borderId="0" xfId="0" applyFont="1" applyAlignment="1">
      <alignment horizontal="center" wrapText="1"/>
    </xf>
    <xf numFmtId="44" fontId="29" fillId="0" borderId="6" xfId="0" applyNumberFormat="1" applyFont="1" applyBorder="1" applyAlignment="1">
      <alignment wrapText="1"/>
    </xf>
    <xf numFmtId="44" fontId="29" fillId="0" borderId="2" xfId="0" applyNumberFormat="1" applyFont="1" applyBorder="1"/>
    <xf numFmtId="0" fontId="32" fillId="0" borderId="0" xfId="0" applyFont="1" applyAlignment="1">
      <alignment vertical="center"/>
    </xf>
    <xf numFmtId="0" fontId="32" fillId="0" borderId="0" xfId="0" applyFont="1"/>
    <xf numFmtId="17" fontId="33" fillId="0" borderId="0" xfId="2" applyNumberFormat="1" applyFont="1"/>
    <xf numFmtId="0" fontId="34" fillId="0" borderId="0" xfId="2" applyFont="1"/>
    <xf numFmtId="0" fontId="32" fillId="0" borderId="0" xfId="0" applyFont="1" applyAlignment="1">
      <alignment vertical="center" wrapText="1"/>
    </xf>
    <xf numFmtId="1" fontId="35" fillId="0" borderId="15" xfId="1" applyNumberFormat="1" applyFont="1" applyFill="1" applyBorder="1" applyAlignment="1">
      <alignment horizontal="center" vertical="center"/>
    </xf>
    <xf numFmtId="1" fontId="35" fillId="0" borderId="0" xfId="1" applyNumberFormat="1" applyFont="1" applyFill="1" applyBorder="1" applyAlignment="1">
      <alignment horizontal="center" vertical="center"/>
    </xf>
    <xf numFmtId="0" fontId="36" fillId="0" borderId="0" xfId="2" applyFont="1" applyAlignment="1">
      <alignment vertical="center"/>
    </xf>
    <xf numFmtId="14" fontId="35" fillId="0" borderId="0" xfId="2" applyNumberFormat="1" applyFont="1" applyAlignment="1">
      <alignment vertical="center"/>
    </xf>
    <xf numFmtId="0" fontId="37" fillId="0" borderId="0" xfId="0" applyFont="1" applyAlignment="1">
      <alignment vertical="center"/>
    </xf>
    <xf numFmtId="0" fontId="31" fillId="0" borderId="6" xfId="0" applyFont="1" applyFill="1" applyBorder="1" applyAlignment="1">
      <alignment horizontal="center"/>
    </xf>
    <xf numFmtId="0" fontId="31" fillId="0" borderId="7" xfId="0" applyFont="1" applyFill="1" applyBorder="1" applyAlignment="1">
      <alignment horizontal="center"/>
    </xf>
    <xf numFmtId="0" fontId="31" fillId="0" borderId="8" xfId="0" applyFont="1" applyFill="1" applyBorder="1" applyAlignment="1">
      <alignment horizontal="center"/>
    </xf>
    <xf numFmtId="16" fontId="31" fillId="0" borderId="13" xfId="0" applyNumberFormat="1" applyFont="1" applyFill="1" applyBorder="1" applyAlignment="1">
      <alignment horizontal="center" vertical="center" wrapText="1"/>
    </xf>
    <xf numFmtId="16" fontId="31" fillId="0" borderId="14" xfId="0" applyNumberFormat="1" applyFont="1" applyFill="1" applyBorder="1" applyAlignment="1">
      <alignment horizontal="center" vertical="center" wrapText="1"/>
    </xf>
    <xf numFmtId="16" fontId="31" fillId="0" borderId="6" xfId="0" applyNumberFormat="1" applyFont="1" applyBorder="1" applyAlignment="1">
      <alignment horizontal="center" vertical="center"/>
    </xf>
    <xf numFmtId="16" fontId="31" fillId="0" borderId="7" xfId="0" applyNumberFormat="1" applyFont="1" applyBorder="1" applyAlignment="1">
      <alignment horizontal="center" vertical="center"/>
    </xf>
    <xf numFmtId="16" fontId="31" fillId="0" borderId="8" xfId="0" applyNumberFormat="1" applyFont="1" applyBorder="1" applyAlignment="1">
      <alignment horizontal="center" vertical="center"/>
    </xf>
    <xf numFmtId="0" fontId="28" fillId="0" borderId="6" xfId="2" applyFont="1" applyBorder="1" applyAlignment="1">
      <alignment horizontal="center" vertical="center" wrapText="1"/>
    </xf>
    <xf numFmtId="0" fontId="28" fillId="0" borderId="7" xfId="2" applyFont="1" applyBorder="1" applyAlignment="1">
      <alignment horizontal="center" vertical="center" wrapText="1"/>
    </xf>
    <xf numFmtId="0" fontId="28" fillId="0" borderId="8" xfId="2" applyFont="1" applyBorder="1" applyAlignment="1">
      <alignment horizontal="center" vertical="center" wrapText="1"/>
    </xf>
    <xf numFmtId="44" fontId="28" fillId="0" borderId="6" xfId="1" applyFont="1" applyBorder="1" applyAlignment="1">
      <alignment horizontal="center" vertical="center" wrapText="1"/>
    </xf>
    <xf numFmtId="44" fontId="28" fillId="0" borderId="8" xfId="1" applyFont="1" applyBorder="1" applyAlignment="1">
      <alignment horizontal="center" vertical="center" wrapText="1"/>
    </xf>
    <xf numFmtId="44" fontId="28" fillId="0" borderId="6" xfId="1" applyFont="1" applyFill="1" applyBorder="1" applyAlignment="1">
      <alignment horizontal="center" vertical="center" wrapText="1"/>
    </xf>
    <xf numFmtId="44" fontId="28" fillId="0" borderId="8" xfId="1" applyFont="1" applyFill="1" applyBorder="1" applyAlignment="1">
      <alignment horizontal="center" vertical="center" wrapText="1"/>
    </xf>
    <xf numFmtId="16" fontId="31" fillId="0" borderId="16" xfId="0" applyNumberFormat="1" applyFont="1" applyFill="1" applyBorder="1" applyAlignment="1">
      <alignment horizontal="center" vertical="center" wrapText="1"/>
    </xf>
    <xf numFmtId="16" fontId="31" fillId="0" borderId="17" xfId="0" applyNumberFormat="1" applyFont="1" applyFill="1" applyBorder="1" applyAlignment="1">
      <alignment horizontal="center" vertical="center" wrapText="1"/>
    </xf>
    <xf numFmtId="0" fontId="31" fillId="0" borderId="6" xfId="0" applyFont="1" applyFill="1" applyBorder="1" applyAlignment="1">
      <alignment horizontal="center" wrapText="1"/>
    </xf>
    <xf numFmtId="0" fontId="28" fillId="0" borderId="6" xfId="2" applyFont="1" applyFill="1" applyBorder="1" applyAlignment="1">
      <alignment horizontal="center" vertical="center" wrapText="1"/>
    </xf>
    <xf numFmtId="0" fontId="28" fillId="0" borderId="7" xfId="2" applyFont="1" applyFill="1" applyBorder="1" applyAlignment="1">
      <alignment horizontal="center" vertical="center" wrapText="1"/>
    </xf>
    <xf numFmtId="0" fontId="28" fillId="0" borderId="8" xfId="2" applyFont="1" applyFill="1" applyBorder="1" applyAlignment="1">
      <alignment horizontal="center" vertical="center" wrapText="1"/>
    </xf>
    <xf numFmtId="0" fontId="23" fillId="3" borderId="2" xfId="2" applyFont="1" applyFill="1" applyBorder="1" applyAlignment="1">
      <alignment horizontal="center" vertical="center"/>
    </xf>
    <xf numFmtId="0" fontId="21" fillId="0" borderId="2" xfId="2" applyFont="1" applyBorder="1" applyAlignment="1">
      <alignment horizontal="center" vertical="center" wrapText="1"/>
    </xf>
    <xf numFmtId="0" fontId="22" fillId="0" borderId="2" xfId="2" applyFont="1" applyBorder="1" applyAlignment="1">
      <alignment horizontal="center" vertical="center"/>
    </xf>
    <xf numFmtId="14" fontId="22" fillId="0" borderId="2" xfId="2" applyNumberFormat="1" applyFont="1" applyBorder="1" applyAlignment="1">
      <alignment horizontal="center" vertical="center"/>
    </xf>
    <xf numFmtId="0" fontId="22" fillId="0" borderId="0" xfId="2" applyFont="1" applyAlignment="1">
      <alignment horizontal="left"/>
    </xf>
    <xf numFmtId="0" fontId="29" fillId="2" borderId="6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2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0" fontId="30" fillId="2" borderId="9" xfId="0" applyFont="1" applyFill="1" applyBorder="1" applyAlignment="1">
      <alignment horizontal="center" vertical="center" wrapText="1"/>
    </xf>
    <xf numFmtId="0" fontId="30" fillId="2" borderId="12" xfId="0" applyFont="1" applyFill="1" applyBorder="1" applyAlignment="1">
      <alignment horizontal="center" vertical="center" wrapText="1"/>
    </xf>
    <xf numFmtId="0" fontId="14" fillId="3" borderId="6" xfId="2" applyFont="1" applyFill="1" applyBorder="1" applyAlignment="1">
      <alignment horizontal="center" vertical="center"/>
    </xf>
    <xf numFmtId="0" fontId="14" fillId="3" borderId="7" xfId="2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wrapText="1"/>
    </xf>
    <xf numFmtId="0" fontId="29" fillId="2" borderId="8" xfId="0" applyFont="1" applyFill="1" applyBorder="1" applyAlignment="1">
      <alignment horizontal="center" wrapText="1"/>
    </xf>
    <xf numFmtId="44" fontId="29" fillId="0" borderId="6" xfId="0" applyNumberFormat="1" applyFont="1" applyBorder="1" applyAlignment="1">
      <alignment horizontal="center"/>
    </xf>
    <xf numFmtId="0" fontId="29" fillId="0" borderId="8" xfId="0" applyFont="1" applyBorder="1" applyAlignment="1">
      <alignment horizontal="center"/>
    </xf>
    <xf numFmtId="0" fontId="29" fillId="2" borderId="3" xfId="0" applyFont="1" applyFill="1" applyBorder="1" applyAlignment="1">
      <alignment horizontal="center" vertical="center" wrapText="1"/>
    </xf>
    <xf numFmtId="0" fontId="29" fillId="2" borderId="4" xfId="0" applyFont="1" applyFill="1" applyBorder="1" applyAlignment="1">
      <alignment horizontal="center" vertical="center" wrapText="1"/>
    </xf>
    <xf numFmtId="0" fontId="29" fillId="2" borderId="10" xfId="0" applyFont="1" applyFill="1" applyBorder="1" applyAlignment="1">
      <alignment horizontal="center" vertical="center" wrapText="1"/>
    </xf>
    <xf numFmtId="0" fontId="29" fillId="2" borderId="11" xfId="0" applyFont="1" applyFill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center" vertical="center"/>
    </xf>
    <xf numFmtId="0" fontId="29" fillId="2" borderId="4" xfId="0" applyFont="1" applyFill="1" applyBorder="1" applyAlignment="1">
      <alignment horizontal="center" vertical="center"/>
    </xf>
    <xf numFmtId="0" fontId="29" fillId="2" borderId="10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1" xfId="0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14" fillId="3" borderId="10" xfId="2" applyFont="1" applyFill="1" applyBorder="1" applyAlignment="1">
      <alignment horizontal="center" vertical="center"/>
    </xf>
    <xf numFmtId="0" fontId="14" fillId="3" borderId="1" xfId="2" applyFont="1" applyFill="1" applyBorder="1" applyAlignment="1">
      <alignment horizontal="center" vertical="center"/>
    </xf>
    <xf numFmtId="0" fontId="14" fillId="3" borderId="11" xfId="2" applyFont="1" applyFill="1" applyBorder="1" applyAlignment="1">
      <alignment horizontal="center" vertical="center"/>
    </xf>
  </cellXfs>
  <cellStyles count="16">
    <cellStyle name="Excel Built-in Currency" xfId="4"/>
    <cellStyle name="Moneda" xfId="1" builtinId="4"/>
    <cellStyle name="Moneda 2" xfId="6"/>
    <cellStyle name="Moneda 2 2" xfId="9"/>
    <cellStyle name="Moneda 2 2 2" xfId="14"/>
    <cellStyle name="Moneda 2 3" xfId="8"/>
    <cellStyle name="Moneda 2 4" xfId="12"/>
    <cellStyle name="Moneda 2 5" xfId="7"/>
    <cellStyle name="Moneda 3" xfId="5"/>
    <cellStyle name="Moneda 3 2" xfId="13"/>
    <cellStyle name="Moneda 4" xfId="11"/>
    <cellStyle name="Moneda 5" xfId="15"/>
    <cellStyle name="Moneda 6" xfId="3"/>
    <cellStyle name="Moneda 8" xfId="10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249238</xdr:colOff>
      <xdr:row>0</xdr:row>
      <xdr:rowOff>108477</xdr:rowOff>
    </xdr:from>
    <xdr:to>
      <xdr:col>3</xdr:col>
      <xdr:colOff>2239769</xdr:colOff>
      <xdr:row>3</xdr:row>
      <xdr:rowOff>190500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A3EBF4CC-AB95-4D42-B6E9-14F98540F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5926" y="108477"/>
          <a:ext cx="4324156" cy="15107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37"/>
  <sheetViews>
    <sheetView showGridLines="0" tabSelected="1" view="pageBreakPreview" zoomScale="20" zoomScaleNormal="90" zoomScaleSheetLayoutView="20" workbookViewId="0">
      <selection activeCell="C27" sqref="C27:I27"/>
    </sheetView>
  </sheetViews>
  <sheetFormatPr baseColWidth="10" defaultColWidth="6.140625" defaultRowHeight="34.5"/>
  <cols>
    <col min="1" max="1" width="2.5703125" style="12" customWidth="1"/>
    <col min="2" max="2" width="29.85546875" style="12" customWidth="1"/>
    <col min="3" max="3" width="4.85546875" style="12" customWidth="1"/>
    <col min="4" max="4" width="41.42578125" style="12" customWidth="1"/>
    <col min="5" max="5" width="8.140625" style="12" customWidth="1"/>
    <col min="6" max="6" width="3.5703125" style="12" customWidth="1"/>
    <col min="7" max="7" width="4.5703125" style="12" customWidth="1"/>
    <col min="8" max="8" width="7.5703125" style="12" customWidth="1"/>
    <col min="9" max="9" width="169.140625" style="12" customWidth="1"/>
    <col min="10" max="10" width="4.85546875" style="12" customWidth="1"/>
    <col min="11" max="11" width="114.5703125" style="12" customWidth="1"/>
    <col min="12" max="14" width="4.85546875" style="12" customWidth="1"/>
    <col min="15" max="15" width="55.5703125" style="12" customWidth="1"/>
    <col min="16" max="16" width="9" style="12" customWidth="1"/>
    <col min="17" max="18" width="4.85546875" style="12" customWidth="1"/>
    <col min="19" max="19" width="119.7109375" style="12" customWidth="1"/>
    <col min="20" max="20" width="14" style="12" customWidth="1"/>
    <col min="21" max="21" width="69.7109375" style="12" customWidth="1"/>
    <col min="22" max="22" width="14.5703125" style="12" customWidth="1"/>
    <col min="23" max="23" width="74.7109375" style="12" customWidth="1"/>
    <col min="24" max="25" width="60.85546875" style="12" customWidth="1"/>
    <col min="26" max="26" width="91.5703125" style="12" customWidth="1"/>
    <col min="27" max="27" width="93" style="12" customWidth="1"/>
    <col min="28" max="28" width="97.28515625" style="12" customWidth="1"/>
    <col min="29" max="29" width="138.7109375" style="12" bestFit="1" customWidth="1"/>
    <col min="30" max="30" width="31.5703125" style="60" hidden="1" customWidth="1"/>
    <col min="31" max="31" width="33.42578125" style="60" hidden="1" customWidth="1"/>
    <col min="32" max="16384" width="6.140625" style="12"/>
  </cols>
  <sheetData>
    <row r="1" spans="2:32" s="1" customFormat="1" ht="18" customHeight="1"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7"/>
      <c r="AA1" s="27"/>
      <c r="AB1" s="27"/>
      <c r="AC1" s="27"/>
      <c r="AD1" s="59"/>
      <c r="AE1" s="59"/>
    </row>
    <row r="2" spans="2:32" s="1" customFormat="1" ht="74.25" customHeight="1">
      <c r="E2" s="28"/>
      <c r="F2" s="28"/>
      <c r="G2" s="28"/>
      <c r="H2" s="28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7"/>
      <c r="AA2" s="27"/>
      <c r="AB2" s="27"/>
      <c r="AC2" s="42" t="s">
        <v>0</v>
      </c>
      <c r="AD2" s="59"/>
      <c r="AE2" s="60"/>
    </row>
    <row r="3" spans="2:32" s="1" customFormat="1" ht="18" customHeight="1">
      <c r="E3" s="28"/>
      <c r="F3" s="28"/>
      <c r="G3" s="28"/>
      <c r="H3" s="28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7"/>
      <c r="AA3" s="27"/>
      <c r="AB3" s="27"/>
      <c r="AC3" s="27"/>
      <c r="AD3" s="59"/>
      <c r="AE3" s="59"/>
    </row>
    <row r="4" spans="2:32" s="1" customFormat="1" ht="60" customHeight="1">
      <c r="C4" s="94" t="s">
        <v>1</v>
      </c>
      <c r="D4" s="94"/>
      <c r="E4" s="36" t="s">
        <v>31</v>
      </c>
      <c r="F4" s="36"/>
      <c r="G4" s="36"/>
      <c r="H4" s="36"/>
      <c r="I4" s="36"/>
      <c r="J4" s="36"/>
      <c r="K4" s="36"/>
      <c r="L4" s="35"/>
      <c r="M4" s="35"/>
      <c r="N4" s="35"/>
      <c r="O4" s="35"/>
      <c r="P4" s="37" t="s">
        <v>2</v>
      </c>
      <c r="Q4" s="35"/>
      <c r="R4" s="35"/>
      <c r="S4" s="38"/>
      <c r="T4" s="38" t="s">
        <v>3</v>
      </c>
      <c r="U4" s="38"/>
      <c r="V4" s="38"/>
      <c r="W4" s="35"/>
      <c r="X4" s="35"/>
      <c r="Y4" s="35"/>
      <c r="Z4" s="39"/>
      <c r="AA4" s="39" t="s">
        <v>4</v>
      </c>
      <c r="AB4" s="40">
        <v>46266</v>
      </c>
      <c r="AC4" s="41"/>
      <c r="AD4" s="60"/>
      <c r="AE4" s="60"/>
    </row>
    <row r="5" spans="2:32" s="1" customFormat="1" ht="25.5" customHeight="1">
      <c r="C5" s="16"/>
      <c r="D5" s="16"/>
      <c r="E5" s="32"/>
      <c r="F5" s="32"/>
      <c r="G5" s="32"/>
      <c r="H5" s="32"/>
      <c r="I5" s="32"/>
      <c r="J5" s="32"/>
      <c r="K5" s="32"/>
      <c r="L5" s="28"/>
      <c r="M5" s="28"/>
      <c r="N5" s="28"/>
      <c r="O5" s="28"/>
      <c r="P5" s="30"/>
      <c r="Q5" s="28"/>
      <c r="R5" s="28"/>
      <c r="S5" s="28"/>
      <c r="T5" s="28"/>
      <c r="U5" s="28"/>
      <c r="V5" s="28"/>
      <c r="W5" s="28"/>
      <c r="X5" s="28"/>
      <c r="Y5" s="28"/>
      <c r="Z5" s="31"/>
      <c r="AA5" s="28"/>
      <c r="AB5" s="31"/>
      <c r="AC5" s="31"/>
      <c r="AD5" s="61"/>
      <c r="AE5" s="62"/>
    </row>
    <row r="6" spans="2:32" s="2" customFormat="1" ht="195" customHeight="1">
      <c r="B6" s="97" t="s">
        <v>5</v>
      </c>
      <c r="C6" s="97" t="s">
        <v>6</v>
      </c>
      <c r="D6" s="97"/>
      <c r="E6" s="97"/>
      <c r="F6" s="97"/>
      <c r="G6" s="97"/>
      <c r="H6" s="97"/>
      <c r="I6" s="97"/>
      <c r="J6" s="107" t="s">
        <v>7</v>
      </c>
      <c r="K6" s="108"/>
      <c r="L6" s="111" t="s">
        <v>8</v>
      </c>
      <c r="M6" s="112"/>
      <c r="N6" s="112"/>
      <c r="O6" s="113"/>
      <c r="P6" s="107" t="s">
        <v>9</v>
      </c>
      <c r="Q6" s="117"/>
      <c r="R6" s="117"/>
      <c r="S6" s="108"/>
      <c r="T6" s="95" t="s">
        <v>10</v>
      </c>
      <c r="U6" s="96"/>
      <c r="V6" s="96"/>
      <c r="W6" s="96"/>
      <c r="X6" s="95" t="s">
        <v>11</v>
      </c>
      <c r="Y6" s="98"/>
      <c r="Z6" s="99" t="s">
        <v>12</v>
      </c>
      <c r="AA6" s="97" t="s">
        <v>13</v>
      </c>
      <c r="AB6" s="97" t="s">
        <v>14</v>
      </c>
      <c r="AC6" s="97" t="s">
        <v>15</v>
      </c>
      <c r="AD6" s="63"/>
      <c r="AE6" s="63"/>
    </row>
    <row r="7" spans="2:32" s="3" customFormat="1" ht="313.5" customHeight="1">
      <c r="B7" s="97"/>
      <c r="C7" s="97"/>
      <c r="D7" s="97"/>
      <c r="E7" s="97"/>
      <c r="F7" s="97"/>
      <c r="G7" s="97"/>
      <c r="H7" s="97"/>
      <c r="I7" s="97"/>
      <c r="J7" s="109"/>
      <c r="K7" s="110"/>
      <c r="L7" s="114"/>
      <c r="M7" s="115"/>
      <c r="N7" s="115"/>
      <c r="O7" s="116"/>
      <c r="P7" s="109"/>
      <c r="Q7" s="118"/>
      <c r="R7" s="118"/>
      <c r="S7" s="110"/>
      <c r="T7" s="95" t="s">
        <v>16</v>
      </c>
      <c r="U7" s="98"/>
      <c r="V7" s="95" t="s">
        <v>17</v>
      </c>
      <c r="W7" s="98"/>
      <c r="X7" s="45" t="s">
        <v>18</v>
      </c>
      <c r="Y7" s="45" t="s">
        <v>19</v>
      </c>
      <c r="Z7" s="100"/>
      <c r="AA7" s="97"/>
      <c r="AB7" s="97"/>
      <c r="AC7" s="97"/>
      <c r="AD7" s="60" t="s">
        <v>33</v>
      </c>
      <c r="AE7" s="60" t="s">
        <v>34</v>
      </c>
    </row>
    <row r="8" spans="2:32" s="3" customFormat="1" ht="324" customHeight="1">
      <c r="B8" s="46">
        <v>1</v>
      </c>
      <c r="C8" s="69" t="s">
        <v>32</v>
      </c>
      <c r="D8" s="70"/>
      <c r="E8" s="70"/>
      <c r="F8" s="70"/>
      <c r="G8" s="70"/>
      <c r="H8" s="70"/>
      <c r="I8" s="71"/>
      <c r="J8" s="72">
        <v>46300</v>
      </c>
      <c r="K8" s="73"/>
      <c r="L8" s="74" t="s">
        <v>46</v>
      </c>
      <c r="M8" s="75"/>
      <c r="N8" s="75"/>
      <c r="O8" s="76"/>
      <c r="P8" s="77" t="s">
        <v>69</v>
      </c>
      <c r="Q8" s="78"/>
      <c r="R8" s="78"/>
      <c r="S8" s="79"/>
      <c r="T8" s="80">
        <v>600</v>
      </c>
      <c r="U8" s="81"/>
      <c r="V8" s="82"/>
      <c r="W8" s="83"/>
      <c r="X8" s="47"/>
      <c r="Y8" s="48"/>
      <c r="Z8" s="49"/>
      <c r="AA8" s="49">
        <v>450</v>
      </c>
      <c r="AB8" s="49">
        <v>1060</v>
      </c>
      <c r="AC8" s="50">
        <f>+SUM(T8:AB8)</f>
        <v>2110</v>
      </c>
      <c r="AD8" s="25">
        <v>4</v>
      </c>
      <c r="AE8" s="26">
        <v>3</v>
      </c>
      <c r="AF8" s="4"/>
    </row>
    <row r="9" spans="2:32" s="3" customFormat="1" ht="309" customHeight="1">
      <c r="B9" s="46">
        <v>2</v>
      </c>
      <c r="C9" s="69" t="s">
        <v>35</v>
      </c>
      <c r="D9" s="70"/>
      <c r="E9" s="70"/>
      <c r="F9" s="70"/>
      <c r="G9" s="70"/>
      <c r="H9" s="70"/>
      <c r="I9" s="71"/>
      <c r="J9" s="84" t="s">
        <v>61</v>
      </c>
      <c r="K9" s="85"/>
      <c r="L9" s="74" t="s">
        <v>46</v>
      </c>
      <c r="M9" s="75"/>
      <c r="N9" s="75"/>
      <c r="O9" s="76"/>
      <c r="P9" s="87" t="s">
        <v>62</v>
      </c>
      <c r="Q9" s="88"/>
      <c r="R9" s="88"/>
      <c r="S9" s="89"/>
      <c r="T9" s="82">
        <v>478</v>
      </c>
      <c r="U9" s="83"/>
      <c r="V9" s="82">
        <v>14963</v>
      </c>
      <c r="W9" s="83"/>
      <c r="X9" s="47"/>
      <c r="Y9" s="48"/>
      <c r="Z9" s="49">
        <v>5568</v>
      </c>
      <c r="AA9" s="49">
        <v>2000</v>
      </c>
      <c r="AB9" s="49">
        <v>3700</v>
      </c>
      <c r="AC9" s="50">
        <f t="shared" ref="AC9" si="0">+SUM(T9:AB9)</f>
        <v>26709</v>
      </c>
      <c r="AD9" s="43">
        <v>5</v>
      </c>
      <c r="AE9" s="44">
        <v>4</v>
      </c>
      <c r="AF9" s="4"/>
    </row>
    <row r="10" spans="2:32" s="3" customFormat="1" ht="338.25" customHeight="1">
      <c r="B10" s="46">
        <v>3</v>
      </c>
      <c r="C10" s="86" t="s">
        <v>37</v>
      </c>
      <c r="D10" s="70"/>
      <c r="E10" s="70"/>
      <c r="F10" s="70"/>
      <c r="G10" s="70"/>
      <c r="H10" s="70"/>
      <c r="I10" s="71"/>
      <c r="J10" s="84" t="s">
        <v>45</v>
      </c>
      <c r="K10" s="85"/>
      <c r="L10" s="74" t="s">
        <v>46</v>
      </c>
      <c r="M10" s="75"/>
      <c r="N10" s="75"/>
      <c r="O10" s="76"/>
      <c r="P10" s="87" t="s">
        <v>47</v>
      </c>
      <c r="Q10" s="88"/>
      <c r="R10" s="88"/>
      <c r="S10" s="89"/>
      <c r="T10" s="82">
        <v>1748</v>
      </c>
      <c r="U10" s="83"/>
      <c r="V10" s="82">
        <v>5741</v>
      </c>
      <c r="W10" s="83"/>
      <c r="X10" s="47"/>
      <c r="Y10" s="48"/>
      <c r="Z10" s="49">
        <v>2784</v>
      </c>
      <c r="AA10" s="49">
        <v>1350</v>
      </c>
      <c r="AB10" s="49">
        <v>2750</v>
      </c>
      <c r="AC10" s="50">
        <f t="shared" ref="AC10" si="1">+SUM(T10:AB10)</f>
        <v>14373</v>
      </c>
      <c r="AD10" s="64">
        <v>4</v>
      </c>
      <c r="AE10" s="65">
        <v>3</v>
      </c>
      <c r="AF10" s="68"/>
    </row>
    <row r="11" spans="2:32" s="3" customFormat="1" ht="324" customHeight="1">
      <c r="B11" s="46">
        <v>4</v>
      </c>
      <c r="C11" s="69" t="s">
        <v>32</v>
      </c>
      <c r="D11" s="70"/>
      <c r="E11" s="70"/>
      <c r="F11" s="70"/>
      <c r="G11" s="70"/>
      <c r="H11" s="70"/>
      <c r="I11" s="71"/>
      <c r="J11" s="72" t="s">
        <v>70</v>
      </c>
      <c r="K11" s="73"/>
      <c r="L11" s="74" t="s">
        <v>46</v>
      </c>
      <c r="M11" s="75"/>
      <c r="N11" s="75"/>
      <c r="O11" s="76"/>
      <c r="P11" s="77" t="s">
        <v>71</v>
      </c>
      <c r="Q11" s="78"/>
      <c r="R11" s="78"/>
      <c r="S11" s="79"/>
      <c r="T11" s="80">
        <v>1280</v>
      </c>
      <c r="U11" s="81"/>
      <c r="V11" s="82">
        <v>8541</v>
      </c>
      <c r="W11" s="83"/>
      <c r="X11" s="47"/>
      <c r="Y11" s="48"/>
      <c r="Z11" s="49">
        <v>2784</v>
      </c>
      <c r="AA11" s="49">
        <v>1350</v>
      </c>
      <c r="AB11" s="49">
        <v>2800</v>
      </c>
      <c r="AC11" s="50">
        <f>+SUM(T11:AB11)</f>
        <v>16755</v>
      </c>
      <c r="AD11" s="25">
        <v>4</v>
      </c>
      <c r="AE11" s="26">
        <v>3</v>
      </c>
      <c r="AF11" s="4"/>
    </row>
    <row r="12" spans="2:32" s="3" customFormat="1" ht="267.75" customHeight="1">
      <c r="B12" s="46">
        <v>5</v>
      </c>
      <c r="C12" s="69" t="s">
        <v>80</v>
      </c>
      <c r="D12" s="70"/>
      <c r="E12" s="70"/>
      <c r="F12" s="70"/>
      <c r="G12" s="70"/>
      <c r="H12" s="70"/>
      <c r="I12" s="71"/>
      <c r="J12" s="84" t="s">
        <v>70</v>
      </c>
      <c r="K12" s="85"/>
      <c r="L12" s="74" t="s">
        <v>46</v>
      </c>
      <c r="M12" s="75"/>
      <c r="N12" s="75"/>
      <c r="O12" s="76"/>
      <c r="P12" s="77" t="s">
        <v>81</v>
      </c>
      <c r="Q12" s="78"/>
      <c r="R12" s="78"/>
      <c r="S12" s="79"/>
      <c r="T12" s="80">
        <v>1172</v>
      </c>
      <c r="U12" s="81"/>
      <c r="V12" s="82"/>
      <c r="W12" s="83"/>
      <c r="X12" s="47"/>
      <c r="Y12" s="48"/>
      <c r="Z12" s="49">
        <v>2784</v>
      </c>
      <c r="AA12" s="49">
        <v>1100</v>
      </c>
      <c r="AB12" s="49">
        <v>1500</v>
      </c>
      <c r="AC12" s="50">
        <f>+SUM(T12:AB12)</f>
        <v>6556</v>
      </c>
      <c r="AD12" s="43">
        <v>4</v>
      </c>
      <c r="AE12" s="44">
        <v>3</v>
      </c>
      <c r="AF12" s="4"/>
    </row>
    <row r="13" spans="2:32" s="3" customFormat="1" ht="271.5" customHeight="1">
      <c r="B13" s="46">
        <v>6</v>
      </c>
      <c r="C13" s="69" t="s">
        <v>35</v>
      </c>
      <c r="D13" s="70"/>
      <c r="E13" s="70"/>
      <c r="F13" s="70"/>
      <c r="G13" s="70"/>
      <c r="H13" s="70"/>
      <c r="I13" s="71"/>
      <c r="J13" s="84" t="s">
        <v>63</v>
      </c>
      <c r="K13" s="85"/>
      <c r="L13" s="74" t="s">
        <v>46</v>
      </c>
      <c r="M13" s="75"/>
      <c r="N13" s="75"/>
      <c r="O13" s="76"/>
      <c r="P13" s="87" t="s">
        <v>64</v>
      </c>
      <c r="Q13" s="88"/>
      <c r="R13" s="88"/>
      <c r="S13" s="89"/>
      <c r="T13" s="82"/>
      <c r="U13" s="83"/>
      <c r="V13" s="82">
        <v>8693</v>
      </c>
      <c r="W13" s="83"/>
      <c r="X13" s="47"/>
      <c r="Y13" s="48"/>
      <c r="Z13" s="49">
        <v>5568</v>
      </c>
      <c r="AA13" s="49">
        <v>2250</v>
      </c>
      <c r="AB13" s="49">
        <v>2000</v>
      </c>
      <c r="AC13" s="50">
        <f>+SUM(T13:AB13)</f>
        <v>18511</v>
      </c>
      <c r="AD13" s="25">
        <v>2</v>
      </c>
      <c r="AE13" s="26">
        <v>1</v>
      </c>
      <c r="AF13" s="4"/>
    </row>
    <row r="14" spans="2:32" s="3" customFormat="1" ht="315.75" customHeight="1">
      <c r="B14" s="46">
        <v>7</v>
      </c>
      <c r="C14" s="69" t="s">
        <v>44</v>
      </c>
      <c r="D14" s="70"/>
      <c r="E14" s="70"/>
      <c r="F14" s="70"/>
      <c r="G14" s="70"/>
      <c r="H14" s="70"/>
      <c r="I14" s="71"/>
      <c r="J14" s="84" t="s">
        <v>49</v>
      </c>
      <c r="K14" s="85"/>
      <c r="L14" s="74" t="s">
        <v>46</v>
      </c>
      <c r="M14" s="75"/>
      <c r="N14" s="75"/>
      <c r="O14" s="76"/>
      <c r="P14" s="87" t="s">
        <v>57</v>
      </c>
      <c r="Q14" s="88"/>
      <c r="R14" s="88"/>
      <c r="S14" s="89"/>
      <c r="T14" s="82">
        <v>600</v>
      </c>
      <c r="U14" s="83"/>
      <c r="V14" s="82">
        <v>9018</v>
      </c>
      <c r="W14" s="83"/>
      <c r="X14" s="47"/>
      <c r="Y14" s="48"/>
      <c r="Z14" s="49">
        <v>4176</v>
      </c>
      <c r="AA14" s="49">
        <v>1800</v>
      </c>
      <c r="AB14" s="49">
        <v>2800</v>
      </c>
      <c r="AC14" s="50">
        <f t="shared" ref="AC14" si="2">+SUM(T14:AB14)</f>
        <v>18394</v>
      </c>
      <c r="AD14" s="64">
        <v>3</v>
      </c>
      <c r="AE14" s="65">
        <v>2</v>
      </c>
      <c r="AF14" s="68"/>
    </row>
    <row r="15" spans="2:32" s="3" customFormat="1" ht="402.75" customHeight="1">
      <c r="B15" s="46">
        <v>8</v>
      </c>
      <c r="C15" s="86" t="s">
        <v>37</v>
      </c>
      <c r="D15" s="70"/>
      <c r="E15" s="70"/>
      <c r="F15" s="70"/>
      <c r="G15" s="70"/>
      <c r="H15" s="70"/>
      <c r="I15" s="71"/>
      <c r="J15" s="84" t="s">
        <v>49</v>
      </c>
      <c r="K15" s="85"/>
      <c r="L15" s="74" t="s">
        <v>46</v>
      </c>
      <c r="M15" s="75"/>
      <c r="N15" s="75"/>
      <c r="O15" s="76"/>
      <c r="P15" s="87" t="s">
        <v>50</v>
      </c>
      <c r="Q15" s="88"/>
      <c r="R15" s="88"/>
      <c r="S15" s="89"/>
      <c r="T15" s="82">
        <v>1212</v>
      </c>
      <c r="U15" s="83"/>
      <c r="V15" s="82">
        <v>13912</v>
      </c>
      <c r="W15" s="83"/>
      <c r="X15" s="47"/>
      <c r="Y15" s="48"/>
      <c r="Z15" s="49">
        <v>4176</v>
      </c>
      <c r="AA15" s="49">
        <v>1800</v>
      </c>
      <c r="AB15" s="49">
        <v>3000</v>
      </c>
      <c r="AC15" s="50">
        <f t="shared" ref="AC15" si="3">+SUM(T15:AB15)</f>
        <v>24100</v>
      </c>
      <c r="AD15" s="43">
        <v>3</v>
      </c>
      <c r="AE15" s="44">
        <v>2</v>
      </c>
      <c r="AF15" s="4"/>
    </row>
    <row r="16" spans="2:32" s="3" customFormat="1" ht="324" customHeight="1">
      <c r="B16" s="46">
        <v>9</v>
      </c>
      <c r="C16" s="69" t="s">
        <v>32</v>
      </c>
      <c r="D16" s="70"/>
      <c r="E16" s="70"/>
      <c r="F16" s="70"/>
      <c r="G16" s="70"/>
      <c r="H16" s="70"/>
      <c r="I16" s="71"/>
      <c r="J16" s="72" t="s">
        <v>72</v>
      </c>
      <c r="K16" s="73"/>
      <c r="L16" s="74" t="s">
        <v>46</v>
      </c>
      <c r="M16" s="75"/>
      <c r="N16" s="75"/>
      <c r="O16" s="76"/>
      <c r="P16" s="77" t="s">
        <v>73</v>
      </c>
      <c r="Q16" s="78"/>
      <c r="R16" s="78"/>
      <c r="S16" s="79"/>
      <c r="T16" s="80"/>
      <c r="U16" s="81"/>
      <c r="V16" s="82">
        <v>11486</v>
      </c>
      <c r="W16" s="83"/>
      <c r="X16" s="47"/>
      <c r="Y16" s="48"/>
      <c r="Z16" s="49">
        <v>1392</v>
      </c>
      <c r="AA16" s="49">
        <v>650</v>
      </c>
      <c r="AB16" s="49">
        <v>1800</v>
      </c>
      <c r="AC16" s="50">
        <f>+SUM(T16:AB16)</f>
        <v>15328</v>
      </c>
      <c r="AD16" s="25">
        <v>4</v>
      </c>
      <c r="AE16" s="26">
        <v>3</v>
      </c>
      <c r="AF16" s="4"/>
    </row>
    <row r="17" spans="2:32" s="3" customFormat="1" ht="240.75" customHeight="1">
      <c r="B17" s="46">
        <v>10</v>
      </c>
      <c r="C17" s="86" t="s">
        <v>37</v>
      </c>
      <c r="D17" s="70"/>
      <c r="E17" s="70"/>
      <c r="F17" s="70"/>
      <c r="G17" s="70"/>
      <c r="H17" s="70"/>
      <c r="I17" s="71"/>
      <c r="J17" s="84" t="s">
        <v>51</v>
      </c>
      <c r="K17" s="85"/>
      <c r="L17" s="74" t="s">
        <v>46</v>
      </c>
      <c r="M17" s="75"/>
      <c r="N17" s="75"/>
      <c r="O17" s="76"/>
      <c r="P17" s="87" t="s">
        <v>52</v>
      </c>
      <c r="Q17" s="88"/>
      <c r="R17" s="88"/>
      <c r="S17" s="89"/>
      <c r="T17" s="82">
        <v>440</v>
      </c>
      <c r="U17" s="83"/>
      <c r="V17" s="82">
        <v>8781</v>
      </c>
      <c r="W17" s="83"/>
      <c r="X17" s="47"/>
      <c r="Y17" s="48"/>
      <c r="Z17" s="49">
        <v>1392</v>
      </c>
      <c r="AA17" s="49">
        <v>900</v>
      </c>
      <c r="AB17" s="49">
        <v>2500</v>
      </c>
      <c r="AC17" s="50">
        <f t="shared" ref="AC17" si="4">+SUM(T17:AB17)</f>
        <v>14013</v>
      </c>
      <c r="AD17" s="64">
        <v>2</v>
      </c>
      <c r="AE17" s="65">
        <v>1</v>
      </c>
      <c r="AF17" s="68"/>
    </row>
    <row r="18" spans="2:32" s="3" customFormat="1" ht="409.6" customHeight="1">
      <c r="B18" s="46">
        <v>11</v>
      </c>
      <c r="C18" s="69" t="s">
        <v>35</v>
      </c>
      <c r="D18" s="70"/>
      <c r="E18" s="70"/>
      <c r="F18" s="70"/>
      <c r="G18" s="70"/>
      <c r="H18" s="70"/>
      <c r="I18" s="71"/>
      <c r="J18" s="84" t="s">
        <v>65</v>
      </c>
      <c r="K18" s="85"/>
      <c r="L18" s="74" t="s">
        <v>46</v>
      </c>
      <c r="M18" s="75"/>
      <c r="N18" s="75"/>
      <c r="O18" s="76"/>
      <c r="P18" s="87" t="s">
        <v>66</v>
      </c>
      <c r="Q18" s="88"/>
      <c r="R18" s="88"/>
      <c r="S18" s="89"/>
      <c r="T18" s="82">
        <v>1824</v>
      </c>
      <c r="U18" s="83"/>
      <c r="V18" s="82">
        <v>5772</v>
      </c>
      <c r="W18" s="83"/>
      <c r="X18" s="47"/>
      <c r="Y18" s="48"/>
      <c r="Z18" s="49">
        <v>5568</v>
      </c>
      <c r="AA18" s="49">
        <v>2000</v>
      </c>
      <c r="AB18" s="49">
        <v>2700</v>
      </c>
      <c r="AC18" s="50">
        <f>+SUM(T18:AB18)</f>
        <v>17864</v>
      </c>
      <c r="AD18" s="25">
        <v>5</v>
      </c>
      <c r="AE18" s="26">
        <v>4</v>
      </c>
      <c r="AF18" s="4"/>
    </row>
    <row r="19" spans="2:32" s="3" customFormat="1" ht="324" customHeight="1">
      <c r="B19" s="46">
        <v>12</v>
      </c>
      <c r="C19" s="69" t="s">
        <v>32</v>
      </c>
      <c r="D19" s="70"/>
      <c r="E19" s="70"/>
      <c r="F19" s="70"/>
      <c r="G19" s="70"/>
      <c r="H19" s="70"/>
      <c r="I19" s="71"/>
      <c r="J19" s="72" t="s">
        <v>74</v>
      </c>
      <c r="K19" s="73"/>
      <c r="L19" s="74" t="s">
        <v>46</v>
      </c>
      <c r="M19" s="75"/>
      <c r="N19" s="75"/>
      <c r="O19" s="76"/>
      <c r="P19" s="77" t="s">
        <v>75</v>
      </c>
      <c r="Q19" s="78"/>
      <c r="R19" s="78"/>
      <c r="S19" s="79"/>
      <c r="T19" s="80"/>
      <c r="U19" s="81"/>
      <c r="V19" s="82">
        <v>8629</v>
      </c>
      <c r="W19" s="83"/>
      <c r="X19" s="47"/>
      <c r="Y19" s="48"/>
      <c r="Z19" s="49">
        <v>1392</v>
      </c>
      <c r="AA19" s="49">
        <v>900</v>
      </c>
      <c r="AB19" s="49">
        <v>2000</v>
      </c>
      <c r="AC19" s="50">
        <f>+SUM(T19:AB19)</f>
        <v>12921</v>
      </c>
      <c r="AD19" s="25">
        <v>4</v>
      </c>
      <c r="AE19" s="26">
        <v>3</v>
      </c>
      <c r="AF19" s="4"/>
    </row>
    <row r="20" spans="2:32" s="3" customFormat="1" ht="402.75" customHeight="1">
      <c r="B20" s="46">
        <v>13</v>
      </c>
      <c r="C20" s="86" t="s">
        <v>37</v>
      </c>
      <c r="D20" s="70"/>
      <c r="E20" s="70"/>
      <c r="F20" s="70"/>
      <c r="G20" s="70"/>
      <c r="H20" s="70"/>
      <c r="I20" s="71"/>
      <c r="J20" s="84" t="s">
        <v>53</v>
      </c>
      <c r="K20" s="85"/>
      <c r="L20" s="74" t="s">
        <v>46</v>
      </c>
      <c r="M20" s="75"/>
      <c r="N20" s="75"/>
      <c r="O20" s="76"/>
      <c r="P20" s="87" t="s">
        <v>54</v>
      </c>
      <c r="Q20" s="88"/>
      <c r="R20" s="88"/>
      <c r="S20" s="89"/>
      <c r="T20" s="82">
        <v>1602</v>
      </c>
      <c r="U20" s="83"/>
      <c r="V20" s="82"/>
      <c r="W20" s="83"/>
      <c r="X20" s="47"/>
      <c r="Y20" s="48"/>
      <c r="Z20" s="49">
        <v>1392</v>
      </c>
      <c r="AA20" s="49">
        <v>900</v>
      </c>
      <c r="AB20" s="49">
        <v>2000</v>
      </c>
      <c r="AC20" s="50">
        <f t="shared" ref="AC20" si="5">+SUM(T20:AB20)</f>
        <v>5894</v>
      </c>
      <c r="AD20" s="43">
        <v>4</v>
      </c>
      <c r="AE20" s="44">
        <v>3</v>
      </c>
      <c r="AF20" s="4"/>
    </row>
    <row r="21" spans="2:32" s="3" customFormat="1" ht="315.75" customHeight="1">
      <c r="B21" s="46">
        <v>14</v>
      </c>
      <c r="C21" s="69" t="s">
        <v>44</v>
      </c>
      <c r="D21" s="70"/>
      <c r="E21" s="70"/>
      <c r="F21" s="70"/>
      <c r="G21" s="70"/>
      <c r="H21" s="70"/>
      <c r="I21" s="71"/>
      <c r="J21" s="84">
        <v>46318</v>
      </c>
      <c r="K21" s="85"/>
      <c r="L21" s="74" t="s">
        <v>46</v>
      </c>
      <c r="M21" s="75"/>
      <c r="N21" s="75"/>
      <c r="O21" s="76"/>
      <c r="P21" s="87" t="s">
        <v>58</v>
      </c>
      <c r="Q21" s="88"/>
      <c r="R21" s="88"/>
      <c r="S21" s="89"/>
      <c r="T21" s="82">
        <v>700</v>
      </c>
      <c r="U21" s="83"/>
      <c r="V21" s="82"/>
      <c r="W21" s="83"/>
      <c r="X21" s="47"/>
      <c r="Y21" s="48"/>
      <c r="Z21" s="49"/>
      <c r="AA21" s="49">
        <v>450</v>
      </c>
      <c r="AB21" s="49">
        <v>1040</v>
      </c>
      <c r="AC21" s="50">
        <f t="shared" ref="AC21" si="6">+SUM(T21:AB21)</f>
        <v>2190</v>
      </c>
      <c r="AD21" s="64">
        <v>3</v>
      </c>
      <c r="AE21" s="65">
        <v>2</v>
      </c>
      <c r="AF21" s="68"/>
    </row>
    <row r="22" spans="2:32" s="3" customFormat="1" ht="267.75" customHeight="1">
      <c r="B22" s="46">
        <v>15</v>
      </c>
      <c r="C22" s="69" t="s">
        <v>80</v>
      </c>
      <c r="D22" s="70"/>
      <c r="E22" s="70"/>
      <c r="F22" s="70"/>
      <c r="G22" s="70"/>
      <c r="H22" s="70"/>
      <c r="I22" s="71"/>
      <c r="J22" s="84">
        <v>46321</v>
      </c>
      <c r="K22" s="85"/>
      <c r="L22" s="74" t="s">
        <v>46</v>
      </c>
      <c r="M22" s="75"/>
      <c r="N22" s="75"/>
      <c r="O22" s="76"/>
      <c r="P22" s="77" t="s">
        <v>82</v>
      </c>
      <c r="Q22" s="78"/>
      <c r="R22" s="78"/>
      <c r="S22" s="79"/>
      <c r="T22" s="80">
        <v>440</v>
      </c>
      <c r="U22" s="81"/>
      <c r="V22" s="82"/>
      <c r="W22" s="83"/>
      <c r="X22" s="47"/>
      <c r="Y22" s="48"/>
      <c r="Z22" s="49"/>
      <c r="AA22" s="49">
        <v>450</v>
      </c>
      <c r="AB22" s="49">
        <v>1200</v>
      </c>
      <c r="AC22" s="50">
        <f t="shared" ref="AC22" si="7">+SUM(T22:AB22)</f>
        <v>2090</v>
      </c>
      <c r="AD22" s="43">
        <v>4</v>
      </c>
      <c r="AE22" s="44">
        <v>3</v>
      </c>
      <c r="AF22" s="4"/>
    </row>
    <row r="23" spans="2:32" s="3" customFormat="1" ht="285.75" customHeight="1">
      <c r="B23" s="46">
        <v>16</v>
      </c>
      <c r="C23" s="69" t="s">
        <v>32</v>
      </c>
      <c r="D23" s="70"/>
      <c r="E23" s="70"/>
      <c r="F23" s="70"/>
      <c r="G23" s="70"/>
      <c r="H23" s="70"/>
      <c r="I23" s="71"/>
      <c r="J23" s="84" t="s">
        <v>76</v>
      </c>
      <c r="K23" s="85"/>
      <c r="L23" s="74" t="s">
        <v>46</v>
      </c>
      <c r="M23" s="75"/>
      <c r="N23" s="75"/>
      <c r="O23" s="76"/>
      <c r="P23" s="87" t="s">
        <v>77</v>
      </c>
      <c r="Q23" s="88"/>
      <c r="R23" s="88"/>
      <c r="S23" s="89"/>
      <c r="T23" s="82">
        <v>933</v>
      </c>
      <c r="U23" s="83"/>
      <c r="V23" s="82">
        <v>10074</v>
      </c>
      <c r="W23" s="83"/>
      <c r="X23" s="47"/>
      <c r="Y23" s="48"/>
      <c r="Z23" s="49">
        <v>1392</v>
      </c>
      <c r="AA23" s="49">
        <v>900</v>
      </c>
      <c r="AB23" s="49">
        <v>2000</v>
      </c>
      <c r="AC23" s="50">
        <f>+SUM(T23:AB23)</f>
        <v>15299</v>
      </c>
      <c r="AD23" s="64">
        <v>2</v>
      </c>
      <c r="AE23" s="65">
        <v>1</v>
      </c>
      <c r="AF23" s="68"/>
    </row>
    <row r="24" spans="2:32" s="3" customFormat="1" ht="386.25" customHeight="1">
      <c r="B24" s="46">
        <v>17</v>
      </c>
      <c r="C24" s="69" t="s">
        <v>35</v>
      </c>
      <c r="D24" s="70"/>
      <c r="E24" s="70"/>
      <c r="F24" s="70"/>
      <c r="G24" s="70"/>
      <c r="H24" s="70"/>
      <c r="I24" s="71"/>
      <c r="J24" s="84" t="s">
        <v>67</v>
      </c>
      <c r="K24" s="85"/>
      <c r="L24" s="74" t="s">
        <v>46</v>
      </c>
      <c r="M24" s="75"/>
      <c r="N24" s="75"/>
      <c r="O24" s="76"/>
      <c r="P24" s="87" t="s">
        <v>68</v>
      </c>
      <c r="Q24" s="88"/>
      <c r="R24" s="88"/>
      <c r="S24" s="89"/>
      <c r="T24" s="82"/>
      <c r="U24" s="83"/>
      <c r="V24" s="82">
        <v>11971</v>
      </c>
      <c r="W24" s="83"/>
      <c r="X24" s="47"/>
      <c r="Y24" s="48"/>
      <c r="Z24" s="49">
        <v>5568</v>
      </c>
      <c r="AA24" s="49">
        <v>2250</v>
      </c>
      <c r="AB24" s="49">
        <v>2600</v>
      </c>
      <c r="AC24" s="50">
        <f>+SUM(T24:AB24)</f>
        <v>22389</v>
      </c>
      <c r="AD24" s="23"/>
      <c r="AE24" s="24"/>
    </row>
    <row r="25" spans="2:32" s="3" customFormat="1" ht="409.6" customHeight="1">
      <c r="B25" s="46">
        <v>18</v>
      </c>
      <c r="C25" s="69" t="s">
        <v>44</v>
      </c>
      <c r="D25" s="70"/>
      <c r="E25" s="70"/>
      <c r="F25" s="70"/>
      <c r="G25" s="70"/>
      <c r="H25" s="70"/>
      <c r="I25" s="71"/>
      <c r="J25" s="84" t="s">
        <v>59</v>
      </c>
      <c r="K25" s="85"/>
      <c r="L25" s="74" t="s">
        <v>46</v>
      </c>
      <c r="M25" s="75"/>
      <c r="N25" s="75"/>
      <c r="O25" s="76"/>
      <c r="P25" s="87" t="s">
        <v>60</v>
      </c>
      <c r="Q25" s="88"/>
      <c r="R25" s="88"/>
      <c r="S25" s="89"/>
      <c r="T25" s="82">
        <v>1240</v>
      </c>
      <c r="U25" s="83"/>
      <c r="V25" s="82"/>
      <c r="W25" s="83"/>
      <c r="X25" s="47"/>
      <c r="Y25" s="48"/>
      <c r="Z25" s="49">
        <v>1392</v>
      </c>
      <c r="AA25" s="49">
        <v>900</v>
      </c>
      <c r="AB25" s="49">
        <v>1700</v>
      </c>
      <c r="AC25" s="50">
        <f t="shared" ref="AC25" si="8">+SUM(T25:AB25)</f>
        <v>5232</v>
      </c>
      <c r="AD25" s="43">
        <v>2</v>
      </c>
      <c r="AE25" s="44">
        <v>1</v>
      </c>
      <c r="AF25" s="4"/>
    </row>
    <row r="26" spans="2:32" s="3" customFormat="1" ht="293.25" customHeight="1">
      <c r="B26" s="46">
        <v>19</v>
      </c>
      <c r="C26" s="86" t="s">
        <v>37</v>
      </c>
      <c r="D26" s="70"/>
      <c r="E26" s="70"/>
      <c r="F26" s="70"/>
      <c r="G26" s="70"/>
      <c r="H26" s="70"/>
      <c r="I26" s="71"/>
      <c r="J26" s="84" t="s">
        <v>55</v>
      </c>
      <c r="K26" s="85"/>
      <c r="L26" s="74" t="s">
        <v>46</v>
      </c>
      <c r="M26" s="75"/>
      <c r="N26" s="75"/>
      <c r="O26" s="76"/>
      <c r="P26" s="87" t="s">
        <v>56</v>
      </c>
      <c r="Q26" s="88"/>
      <c r="R26" s="88"/>
      <c r="S26" s="89"/>
      <c r="T26" s="82">
        <v>700</v>
      </c>
      <c r="U26" s="83"/>
      <c r="V26" s="82">
        <v>13912</v>
      </c>
      <c r="W26" s="83"/>
      <c r="X26" s="47"/>
      <c r="Y26" s="48"/>
      <c r="Z26" s="49">
        <v>4176</v>
      </c>
      <c r="AA26" s="49">
        <v>1800</v>
      </c>
      <c r="AB26" s="49">
        <v>3300</v>
      </c>
      <c r="AC26" s="50">
        <f t="shared" ref="AC26" si="9">+SUM(T26:AB26)</f>
        <v>23888</v>
      </c>
      <c r="AD26" s="64">
        <v>2</v>
      </c>
      <c r="AE26" s="65">
        <v>1</v>
      </c>
      <c r="AF26" s="68"/>
    </row>
    <row r="27" spans="2:32" s="3" customFormat="1" ht="289.5" customHeight="1">
      <c r="B27" s="46">
        <v>20</v>
      </c>
      <c r="C27" s="69" t="s">
        <v>32</v>
      </c>
      <c r="D27" s="70"/>
      <c r="E27" s="70"/>
      <c r="F27" s="70"/>
      <c r="G27" s="70"/>
      <c r="H27" s="70"/>
      <c r="I27" s="71"/>
      <c r="J27" s="84" t="s">
        <v>78</v>
      </c>
      <c r="K27" s="85"/>
      <c r="L27" s="74" t="s">
        <v>46</v>
      </c>
      <c r="M27" s="75"/>
      <c r="N27" s="75"/>
      <c r="O27" s="76"/>
      <c r="P27" s="77" t="s">
        <v>79</v>
      </c>
      <c r="Q27" s="78"/>
      <c r="R27" s="78"/>
      <c r="S27" s="79"/>
      <c r="T27" s="80">
        <v>1512</v>
      </c>
      <c r="U27" s="81"/>
      <c r="V27" s="82">
        <v>6137</v>
      </c>
      <c r="W27" s="83"/>
      <c r="X27" s="47"/>
      <c r="Y27" s="48"/>
      <c r="Z27" s="49">
        <v>1392</v>
      </c>
      <c r="AA27" s="49">
        <v>900</v>
      </c>
      <c r="AB27" s="49">
        <v>1800</v>
      </c>
      <c r="AC27" s="50">
        <f>+SUM(T27:AB27)</f>
        <v>11741</v>
      </c>
      <c r="AD27" s="64">
        <v>2</v>
      </c>
      <c r="AE27" s="65">
        <v>1</v>
      </c>
      <c r="AF27" s="68"/>
    </row>
    <row r="28" spans="2:32" s="3" customFormat="1" ht="166.5" customHeight="1">
      <c r="B28" s="51"/>
      <c r="C28" s="52"/>
      <c r="D28" s="53"/>
      <c r="E28" s="53"/>
      <c r="F28" s="54"/>
      <c r="G28" s="55"/>
      <c r="H28" s="55"/>
      <c r="I28" s="55"/>
      <c r="J28" s="56"/>
      <c r="K28" s="56"/>
      <c r="L28" s="56"/>
      <c r="M28" s="56"/>
      <c r="N28" s="56"/>
      <c r="O28" s="56"/>
      <c r="P28" s="56"/>
      <c r="Q28" s="56"/>
      <c r="R28" s="103" t="s">
        <v>15</v>
      </c>
      <c r="S28" s="104"/>
      <c r="T28" s="105">
        <f>SUM(T8:U27)</f>
        <v>16481</v>
      </c>
      <c r="U28" s="106"/>
      <c r="V28" s="105">
        <f>SUM(V8:W27)</f>
        <v>137630</v>
      </c>
      <c r="W28" s="106"/>
      <c r="X28" s="57">
        <f>SUM(X21:X27)</f>
        <v>0</v>
      </c>
      <c r="Y28" s="57">
        <f>SUM(Y21:Y27)</f>
        <v>0</v>
      </c>
      <c r="Z28" s="57">
        <f>SUM(Z8:Z27)</f>
        <v>52896</v>
      </c>
      <c r="AA28" s="57">
        <f>SUM(AA8:AA27)</f>
        <v>25100</v>
      </c>
      <c r="AB28" s="57">
        <f>SUM(AB8:AB27)</f>
        <v>44250</v>
      </c>
      <c r="AC28" s="58">
        <f>SUM(V28+X28+Y28+Z28+AA28+AB28+T28)</f>
        <v>276357</v>
      </c>
      <c r="AD28" s="64"/>
      <c r="AE28" s="65"/>
    </row>
    <row r="29" spans="2:32" ht="78.75" customHeight="1">
      <c r="B29" s="5"/>
      <c r="C29" s="6"/>
      <c r="D29" s="7"/>
      <c r="E29" s="7"/>
      <c r="F29" s="8"/>
      <c r="G29" s="3"/>
      <c r="H29" s="3"/>
      <c r="I29" s="3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66"/>
      <c r="AE29" s="66"/>
    </row>
    <row r="30" spans="2:32" ht="230.25" customHeight="1">
      <c r="B30" s="17"/>
      <c r="C30" s="18"/>
      <c r="D30" s="19"/>
      <c r="E30" s="20"/>
      <c r="F30" s="119" t="s">
        <v>20</v>
      </c>
      <c r="G30" s="120"/>
      <c r="H30" s="120"/>
      <c r="I30" s="120"/>
      <c r="J30" s="120"/>
      <c r="K30" s="120"/>
      <c r="L30" s="120"/>
      <c r="M30" s="120"/>
      <c r="N30" s="121"/>
      <c r="O30" s="119" t="s">
        <v>48</v>
      </c>
      <c r="P30" s="120"/>
      <c r="Q30" s="120"/>
      <c r="R30" s="120"/>
      <c r="S30" s="120"/>
      <c r="T30" s="120"/>
      <c r="U30" s="121"/>
      <c r="V30" s="101" t="s">
        <v>21</v>
      </c>
      <c r="W30" s="102"/>
      <c r="X30" s="102"/>
      <c r="Y30" s="34" t="s">
        <v>22</v>
      </c>
      <c r="Z30" s="10"/>
      <c r="AA30" s="11"/>
      <c r="AB30" s="11"/>
      <c r="AC30" s="11"/>
      <c r="AD30" s="67"/>
      <c r="AE30" s="67"/>
    </row>
    <row r="31" spans="2:32" ht="229.5" customHeight="1">
      <c r="B31" s="90" t="s">
        <v>23</v>
      </c>
      <c r="C31" s="90"/>
      <c r="D31" s="90"/>
      <c r="E31" s="90"/>
      <c r="F31" s="91" t="s">
        <v>43</v>
      </c>
      <c r="G31" s="91"/>
      <c r="H31" s="91"/>
      <c r="I31" s="91"/>
      <c r="J31" s="91"/>
      <c r="K31" s="91"/>
      <c r="L31" s="91"/>
      <c r="M31" s="91"/>
      <c r="N31" s="91"/>
      <c r="O31" s="92" t="s">
        <v>42</v>
      </c>
      <c r="P31" s="92"/>
      <c r="Q31" s="92"/>
      <c r="R31" s="92"/>
      <c r="S31" s="92"/>
      <c r="T31" s="92"/>
      <c r="U31" s="92"/>
      <c r="V31" s="93"/>
      <c r="W31" s="93"/>
      <c r="X31" s="93"/>
      <c r="Y31" s="33"/>
      <c r="Z31" s="13"/>
      <c r="AA31" s="14"/>
      <c r="AB31" s="14"/>
      <c r="AC31" s="14"/>
      <c r="AD31" s="67"/>
      <c r="AE31" s="67"/>
    </row>
    <row r="32" spans="2:32" ht="242.25" customHeight="1">
      <c r="B32" s="90" t="s">
        <v>23</v>
      </c>
      <c r="C32" s="90"/>
      <c r="D32" s="90"/>
      <c r="E32" s="90"/>
      <c r="F32" s="91" t="s">
        <v>38</v>
      </c>
      <c r="G32" s="91"/>
      <c r="H32" s="91"/>
      <c r="I32" s="91"/>
      <c r="J32" s="91"/>
      <c r="K32" s="91"/>
      <c r="L32" s="91"/>
      <c r="M32" s="91"/>
      <c r="N32" s="91"/>
      <c r="O32" s="92" t="s">
        <v>39</v>
      </c>
      <c r="P32" s="92"/>
      <c r="Q32" s="92"/>
      <c r="R32" s="92"/>
      <c r="S32" s="92"/>
      <c r="T32" s="92"/>
      <c r="U32" s="92"/>
      <c r="V32" s="93"/>
      <c r="W32" s="93"/>
      <c r="X32" s="93"/>
      <c r="Y32" s="33"/>
      <c r="Z32" s="13"/>
      <c r="AA32" s="14"/>
      <c r="AB32" s="14"/>
      <c r="AC32" s="14"/>
      <c r="AD32" s="67"/>
      <c r="AE32" s="67"/>
    </row>
    <row r="33" spans="2:29" ht="322.5" customHeight="1">
      <c r="B33" s="90" t="s">
        <v>23</v>
      </c>
      <c r="C33" s="90"/>
      <c r="D33" s="90"/>
      <c r="E33" s="90"/>
      <c r="F33" s="91" t="s">
        <v>40</v>
      </c>
      <c r="G33" s="91"/>
      <c r="H33" s="91"/>
      <c r="I33" s="91"/>
      <c r="J33" s="91"/>
      <c r="K33" s="91"/>
      <c r="L33" s="91"/>
      <c r="M33" s="91"/>
      <c r="N33" s="91"/>
      <c r="O33" s="92" t="s">
        <v>41</v>
      </c>
      <c r="P33" s="92"/>
      <c r="Q33" s="92"/>
      <c r="R33" s="92"/>
      <c r="S33" s="92"/>
      <c r="T33" s="92"/>
      <c r="U33" s="92"/>
      <c r="V33" s="93"/>
      <c r="W33" s="93"/>
      <c r="X33" s="93"/>
      <c r="Y33" s="33"/>
      <c r="Z33" s="13"/>
      <c r="AA33" s="14"/>
      <c r="AB33" s="14"/>
      <c r="AC33" s="14"/>
    </row>
    <row r="34" spans="2:29" ht="60">
      <c r="B34" s="90" t="s">
        <v>24</v>
      </c>
      <c r="C34" s="90"/>
      <c r="D34" s="90"/>
      <c r="E34" s="90"/>
      <c r="F34" s="91" t="s">
        <v>25</v>
      </c>
      <c r="G34" s="91"/>
      <c r="H34" s="91"/>
      <c r="I34" s="91"/>
      <c r="J34" s="91"/>
      <c r="K34" s="91"/>
      <c r="L34" s="91"/>
      <c r="M34" s="91"/>
      <c r="N34" s="91"/>
      <c r="O34" s="92" t="s">
        <v>26</v>
      </c>
      <c r="P34" s="92"/>
      <c r="Q34" s="92"/>
      <c r="R34" s="92"/>
      <c r="S34" s="92"/>
      <c r="T34" s="92"/>
      <c r="U34" s="92"/>
      <c r="V34" s="93" t="s">
        <v>36</v>
      </c>
      <c r="W34" s="93"/>
      <c r="X34" s="93"/>
      <c r="Y34" s="33"/>
    </row>
    <row r="36" spans="2:29">
      <c r="C36" s="21" t="s">
        <v>27</v>
      </c>
      <c r="D36" s="15"/>
      <c r="E36" s="15"/>
      <c r="F36" s="15"/>
      <c r="G36" s="15"/>
      <c r="H36" s="22" t="s">
        <v>28</v>
      </c>
      <c r="I36" s="15"/>
      <c r="J36" s="15"/>
      <c r="K36" s="15"/>
      <c r="L36" s="15"/>
      <c r="M36" s="15"/>
      <c r="N36" s="15"/>
      <c r="O36" s="15"/>
      <c r="P36" s="15"/>
      <c r="Q36" s="15" t="s">
        <v>29</v>
      </c>
      <c r="R36" s="15"/>
      <c r="S36" s="15"/>
      <c r="T36" s="15"/>
      <c r="U36" s="15"/>
      <c r="V36" s="15"/>
      <c r="W36" s="15"/>
      <c r="X36" s="15"/>
      <c r="Y36" s="15" t="s">
        <v>30</v>
      </c>
    </row>
    <row r="37" spans="2:29"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</sheetData>
  <mergeCells count="156">
    <mergeCell ref="C23:I23"/>
    <mergeCell ref="J23:K23"/>
    <mergeCell ref="L23:O23"/>
    <mergeCell ref="P23:S23"/>
    <mergeCell ref="T23:U23"/>
    <mergeCell ref="C24:I24"/>
    <mergeCell ref="J24:K24"/>
    <mergeCell ref="L18:O18"/>
    <mergeCell ref="P18:S18"/>
    <mergeCell ref="T18:U18"/>
    <mergeCell ref="V17:W17"/>
    <mergeCell ref="L20:O20"/>
    <mergeCell ref="P20:S20"/>
    <mergeCell ref="T20:U20"/>
    <mergeCell ref="V20:W20"/>
    <mergeCell ref="V27:W27"/>
    <mergeCell ref="L24:O24"/>
    <mergeCell ref="P24:S24"/>
    <mergeCell ref="T24:U24"/>
    <mergeCell ref="V24:W24"/>
    <mergeCell ref="L27:O27"/>
    <mergeCell ref="P27:S27"/>
    <mergeCell ref="T27:U27"/>
    <mergeCell ref="B6:B7"/>
    <mergeCell ref="C6:I7"/>
    <mergeCell ref="J6:K7"/>
    <mergeCell ref="L6:O7"/>
    <mergeCell ref="P6:S7"/>
    <mergeCell ref="B33:E33"/>
    <mergeCell ref="F33:N33"/>
    <mergeCell ref="O33:U33"/>
    <mergeCell ref="C19:I19"/>
    <mergeCell ref="J19:K19"/>
    <mergeCell ref="F30:N30"/>
    <mergeCell ref="O30:U30"/>
    <mergeCell ref="L15:O15"/>
    <mergeCell ref="P15:S15"/>
    <mergeCell ref="C20:I20"/>
    <mergeCell ref="J20:K20"/>
    <mergeCell ref="L17:O17"/>
    <mergeCell ref="P17:S17"/>
    <mergeCell ref="T17:U17"/>
    <mergeCell ref="C17:I17"/>
    <mergeCell ref="J17:K17"/>
    <mergeCell ref="C27:I27"/>
    <mergeCell ref="J27:K27"/>
    <mergeCell ref="C18:I18"/>
    <mergeCell ref="V30:X30"/>
    <mergeCell ref="R28:S28"/>
    <mergeCell ref="T28:U28"/>
    <mergeCell ref="V28:W28"/>
    <mergeCell ref="V33:X33"/>
    <mergeCell ref="B31:E31"/>
    <mergeCell ref="F31:N31"/>
    <mergeCell ref="O31:U31"/>
    <mergeCell ref="V31:X31"/>
    <mergeCell ref="B32:E32"/>
    <mergeCell ref="F32:N32"/>
    <mergeCell ref="O32:U32"/>
    <mergeCell ref="V32:X32"/>
    <mergeCell ref="AC6:AC7"/>
    <mergeCell ref="T7:U7"/>
    <mergeCell ref="V7:W7"/>
    <mergeCell ref="X6:Y6"/>
    <mergeCell ref="Z6:Z7"/>
    <mergeCell ref="AA6:AA7"/>
    <mergeCell ref="L19:O19"/>
    <mergeCell ref="P19:S19"/>
    <mergeCell ref="T19:U19"/>
    <mergeCell ref="V19:W19"/>
    <mergeCell ref="AB6:AB7"/>
    <mergeCell ref="V9:W9"/>
    <mergeCell ref="B34:E34"/>
    <mergeCell ref="F34:N34"/>
    <mergeCell ref="O34:U34"/>
    <mergeCell ref="V34:X34"/>
    <mergeCell ref="C4:D4"/>
    <mergeCell ref="T6:W6"/>
    <mergeCell ref="C13:I13"/>
    <mergeCell ref="J13:K13"/>
    <mergeCell ref="L13:O13"/>
    <mergeCell ref="P13:S13"/>
    <mergeCell ref="T13:U13"/>
    <mergeCell ref="V13:W13"/>
    <mergeCell ref="T25:U25"/>
    <mergeCell ref="V25:W25"/>
    <mergeCell ref="J9:K9"/>
    <mergeCell ref="L9:O9"/>
    <mergeCell ref="C25:I25"/>
    <mergeCell ref="J25:K25"/>
    <mergeCell ref="L25:O25"/>
    <mergeCell ref="P25:S25"/>
    <mergeCell ref="P9:S9"/>
    <mergeCell ref="T9:U9"/>
    <mergeCell ref="C22:I22"/>
    <mergeCell ref="J22:K22"/>
    <mergeCell ref="V18:W18"/>
    <mergeCell ref="C21:I21"/>
    <mergeCell ref="J21:K21"/>
    <mergeCell ref="L21:O21"/>
    <mergeCell ref="P21:S21"/>
    <mergeCell ref="T21:U21"/>
    <mergeCell ref="V21:W21"/>
    <mergeCell ref="C26:I26"/>
    <mergeCell ref="J26:K26"/>
    <mergeCell ref="L26:O26"/>
    <mergeCell ref="P26:S26"/>
    <mergeCell ref="T26:U26"/>
    <mergeCell ref="V26:W26"/>
    <mergeCell ref="T15:U15"/>
    <mergeCell ref="V15:W15"/>
    <mergeCell ref="C9:I9"/>
    <mergeCell ref="L22:O22"/>
    <mergeCell ref="P22:S22"/>
    <mergeCell ref="T22:U22"/>
    <mergeCell ref="V22:W22"/>
    <mergeCell ref="C15:I15"/>
    <mergeCell ref="J15:K15"/>
    <mergeCell ref="V23:W23"/>
    <mergeCell ref="J18:K18"/>
    <mergeCell ref="C10:I10"/>
    <mergeCell ref="J10:K10"/>
    <mergeCell ref="L10:O10"/>
    <mergeCell ref="P10:S10"/>
    <mergeCell ref="T10:U10"/>
    <mergeCell ref="V10:W10"/>
    <mergeCell ref="C14:I14"/>
    <mergeCell ref="J14:K14"/>
    <mergeCell ref="L14:O14"/>
    <mergeCell ref="P14:S14"/>
    <mergeCell ref="T14:U14"/>
    <mergeCell ref="V14:W14"/>
    <mergeCell ref="C16:I16"/>
    <mergeCell ref="J16:K16"/>
    <mergeCell ref="L16:O16"/>
    <mergeCell ref="P16:S16"/>
    <mergeCell ref="T16:U16"/>
    <mergeCell ref="V16:W16"/>
    <mergeCell ref="C11:I11"/>
    <mergeCell ref="J11:K11"/>
    <mergeCell ref="L11:O11"/>
    <mergeCell ref="P11:S11"/>
    <mergeCell ref="T11:U11"/>
    <mergeCell ref="V11:W11"/>
    <mergeCell ref="C8:I8"/>
    <mergeCell ref="J8:K8"/>
    <mergeCell ref="L8:O8"/>
    <mergeCell ref="P8:S8"/>
    <mergeCell ref="T8:U8"/>
    <mergeCell ref="V8:W8"/>
    <mergeCell ref="C12:I12"/>
    <mergeCell ref="J12:K12"/>
    <mergeCell ref="L12:O12"/>
    <mergeCell ref="P12:S12"/>
    <mergeCell ref="T12:U12"/>
    <mergeCell ref="V12:W12"/>
  </mergeCells>
  <pageMargins left="0.23622047244094491" right="0.23622047244094491" top="0.74803149606299213" bottom="0.74803149606299213" header="0.31496062992125984" footer="0.31496062992125984"/>
  <pageSetup scale="10" orientation="landscape" r:id="rId1"/>
  <rowBreaks count="1" manualBreakCount="1">
    <brk id="20" max="2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ASK-ADM-FOR-VIATICOS SEPTIEMBRE</vt:lpstr>
      <vt:lpstr>'ASK-ADM-FOR-VIATICOS SEPTIEMBRE'!Área_de_impresión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Arredondo Ortiz</dc:creator>
  <cp:lastModifiedBy>Adriana Arredondo Ortiz</cp:lastModifiedBy>
  <cp:lastPrinted>2026-09-24T00:28:31Z</cp:lastPrinted>
  <dcterms:created xsi:type="dcterms:W3CDTF">2024-09-26T00:33:27Z</dcterms:created>
  <dcterms:modified xsi:type="dcterms:W3CDTF">2026-09-24T00:28:57Z</dcterms:modified>
</cp:coreProperties>
</file>
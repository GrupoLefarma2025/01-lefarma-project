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FDE0047D-A541-854E-8076-1ADB356B22E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GION 01" sheetId="1" r:id="rId1"/>
    <sheet name="REGION 02" sheetId="2" r:id="rId2"/>
    <sheet name="KAM ISSSTE (03)" sheetId="3" r:id="rId3"/>
    <sheet name="REGION 04" sheetId="4" r:id="rId4"/>
    <sheet name="REGION 05" sheetId="5" r:id="rId5"/>
    <sheet name="REGION 06" sheetId="6" r:id="rId6"/>
    <sheet name="REGION 07" sheetId="7" state="hidden" r:id="rId7"/>
    <sheet name="REGION 08" sheetId="8" r:id="rId8"/>
    <sheet name="REGION 09" sheetId="9" r:id="rId9"/>
    <sheet name="REGION 10" sheetId="10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0" l="1"/>
  <c r="E28" i="9"/>
  <c r="E33" i="8"/>
  <c r="E13" i="7"/>
  <c r="E24" i="6"/>
  <c r="E17" i="5"/>
  <c r="E27" i="5"/>
  <c r="E34" i="4"/>
  <c r="E80" i="3"/>
  <c r="E45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F36" i="1"/>
</calcChain>
</file>

<file path=xl/sharedStrings.xml><?xml version="1.0" encoding="utf-8"?>
<sst xmlns="http://schemas.openxmlformats.org/spreadsheetml/2006/main" count="1237" uniqueCount="422">
  <si>
    <t>GERENCIA DE VENTAS DESCENTRALIZADOS</t>
  </si>
  <si>
    <t>CODIGO</t>
  </si>
  <si>
    <t>ÚLTIMA ACTUALIZACION.</t>
  </si>
  <si>
    <t>Estructura de Rutas Descentralizados</t>
  </si>
  <si>
    <t xml:space="preserve">REVISION </t>
  </si>
  <si>
    <t>FECHA:</t>
  </si>
  <si>
    <t xml:space="preserve"> ESTADOS E INSTITUCIONES QUE CONFORMAN LA RUTA</t>
  </si>
  <si>
    <t xml:space="preserve">REGIÓN 1     </t>
  </si>
  <si>
    <t>INSTITUCIÓN</t>
  </si>
  <si>
    <t>QUIROFANOS</t>
  </si>
  <si>
    <t>CIRUGIAS</t>
  </si>
  <si>
    <t>LOCALIDAD</t>
  </si>
  <si>
    <t>Ejcutivo:</t>
  </si>
  <si>
    <t>VACANTE (provisioonal: Alejandro Agiss- apoyo)</t>
  </si>
  <si>
    <t>Cliente:</t>
  </si>
  <si>
    <t>HOSPITALES SSA  FEDERALES:</t>
  </si>
  <si>
    <t>SSA FEDERAL</t>
  </si>
  <si>
    <t>Asokam Directos/IMSS BIENESTAR</t>
  </si>
  <si>
    <t>HOSPITAL GENERAL DE MEXICO</t>
  </si>
  <si>
    <t>SSA</t>
  </si>
  <si>
    <t>CD. MEXICO</t>
  </si>
  <si>
    <t>HOSPITAL JUAREZ DE MEXICO</t>
  </si>
  <si>
    <t>HOSPITAL DE LA MUJER</t>
  </si>
  <si>
    <t>HOSPITAL HOMEOPATICO</t>
  </si>
  <si>
    <t>HOSPITAL JUAREZ DEL CENTRO</t>
  </si>
  <si>
    <t>HOSPITAL REGIONAL DE ALTA ESPECIALIDAD DE IXTAPALUCA</t>
  </si>
  <si>
    <t>EDO. MEXICO</t>
  </si>
  <si>
    <t>SIA BIOSSMAN/IMSS BIENESTAR</t>
  </si>
  <si>
    <t>HOSPITALES DEL ISEM</t>
  </si>
  <si>
    <t>SSA EDO.</t>
  </si>
  <si>
    <t>EDO.MEXICO</t>
  </si>
  <si>
    <t>HOSPITAL GENERAL ADOLFO LOPEZ MATEOS</t>
  </si>
  <si>
    <t>ISEM</t>
  </si>
  <si>
    <t>HOSPITAL GENERAL “DR. GUSTAVO BAZ PRADA” NEZA</t>
  </si>
  <si>
    <t>HOSPITAL GENERAL ECATEPEC LAS AMERICAS</t>
  </si>
  <si>
    <t>HOSPITAL GENERAL ECATEPEC José M. Rodriguez</t>
  </si>
  <si>
    <t xml:space="preserve">HOSPITAL GENERAL CUAUTITLÁN </t>
  </si>
  <si>
    <t>HOSPITAL GENERAL TLALNEPANTLA</t>
  </si>
  <si>
    <t>HOSPITAL GENERAL TEXCOCO</t>
  </si>
  <si>
    <t>HOSPITAL GENERAL DE CHALCO</t>
  </si>
  <si>
    <t>HOSPITAL GENERAL NICOLAS SAN JUAN</t>
  </si>
  <si>
    <t xml:space="preserve">HOSPITALES ISSEMYM </t>
  </si>
  <si>
    <t>INOVAMEDIK (SIA)</t>
  </si>
  <si>
    <t>HOSPITAL LA PERLA CD. NETZAHUALCOYOTL</t>
  </si>
  <si>
    <t>ISSEMYM</t>
  </si>
  <si>
    <t xml:space="preserve">HOSPITAL REGIONAL TOLUCA EDO. MEX </t>
  </si>
  <si>
    <t>CENTRO ONCOLOGICO ESTATAL ISSEMYM</t>
  </si>
  <si>
    <t>HOSPITAL MATERNO PERINATAL MONICA PETRELLINI</t>
  </si>
  <si>
    <t>HOSPITAL REGIONAL NICOLAS BRAVO EDO. MEX</t>
  </si>
  <si>
    <t xml:space="preserve">CENTRO MEDICO TOLUCA </t>
  </si>
  <si>
    <t>CENTRO MÉDICO ECATEPEC</t>
  </si>
  <si>
    <t>MERIDA</t>
  </si>
  <si>
    <t>IMSS BIENESTAR</t>
  </si>
  <si>
    <t xml:space="preserve">HOSPITAL GENERAL AGUSTÍN O´HORÁN </t>
  </si>
  <si>
    <t>YUCATÁN</t>
  </si>
  <si>
    <t xml:space="preserve">HOSPITAL REGIONAL DE ALTA ESPECIALIDAD DE LA PENÍNSULA DE YUCATÁN </t>
  </si>
  <si>
    <t xml:space="preserve">HOSPITAL MATERNO INFANTIL </t>
  </si>
  <si>
    <t>HOSPITAL DE LA AMISTAD COREA-MÉXICO</t>
  </si>
  <si>
    <t>TOTAL</t>
  </si>
  <si>
    <t>PUESTO</t>
  </si>
  <si>
    <t>NOMBRE</t>
  </si>
  <si>
    <t>REVISIÓN</t>
  </si>
  <si>
    <t>REVISÓ</t>
  </si>
  <si>
    <t>GERENTE DE VENTAS</t>
  </si>
  <si>
    <t>Lic. Gerardo Muñoz P.</t>
  </si>
  <si>
    <t>GERENTE GENERAL</t>
  </si>
  <si>
    <t>Lic. Luis Pozo</t>
  </si>
  <si>
    <t>AUTORIZÓ</t>
  </si>
  <si>
    <t>DIRECTOR GENERAL CORPORATIVO</t>
  </si>
  <si>
    <t>Lic. Héctor Vélez</t>
  </si>
  <si>
    <t>ESTADOS E INSTITUCIONES QUE CONFORMAN LA RUTA</t>
  </si>
  <si>
    <t xml:space="preserve">REGIÓN 2     </t>
  </si>
  <si>
    <t>INSTITUCION</t>
  </si>
  <si>
    <t>Ejecutivo:</t>
  </si>
  <si>
    <t>VICTOR FLORES</t>
  </si>
  <si>
    <t>CDMX</t>
  </si>
  <si>
    <t>Año</t>
  </si>
  <si>
    <t>HOSPITALES DEL GOBIERNO CDMX</t>
  </si>
  <si>
    <t>Promedio</t>
  </si>
  <si>
    <t>HOSPITAL GRAL. XOCO</t>
  </si>
  <si>
    <t>GCDMX</t>
  </si>
  <si>
    <t>HOSP. MATERNO INFANTIL CONTRERAS</t>
  </si>
  <si>
    <t>HOSP. GRAL MILPA ALTA</t>
  </si>
  <si>
    <t>H.E.DR.BELISARIO DOMINGUEZ</t>
  </si>
  <si>
    <t>HOSPITAL GRAL. IZTAPALAPA</t>
  </si>
  <si>
    <t>HOSPITAL  GRAL.BALBUENA</t>
  </si>
  <si>
    <t>HOSPITAL GRAL. TLAHUAC</t>
  </si>
  <si>
    <t>HOSPITAL GRAL. AJUSCO MEDIO</t>
  </si>
  <si>
    <t>H.MATERNO INFANTIL INGUARAN</t>
  </si>
  <si>
    <t>H.GRAL.ENRIQUE CABRERA</t>
  </si>
  <si>
    <t>H.GRAL.TICOMAN</t>
  </si>
  <si>
    <t>H.PEDIÁTRICO DE MOCTEZUMA</t>
  </si>
  <si>
    <t>HOSP. MATERNO INFANTIL TLAHUAC</t>
  </si>
  <si>
    <t>HOSP. MATERNO INFANTIL NICOLAS M.CEDILLO</t>
  </si>
  <si>
    <t>HOSPITAL MATERNO INFANTIL XOCHIMILCO</t>
  </si>
  <si>
    <t>H.PEDIÁTRICO DE COYUYA</t>
  </si>
  <si>
    <t>H.PEDIÁTRICO DE ESCANDON</t>
  </si>
  <si>
    <t>HOSP.PEDIATRICO DE IZTAPALAPA</t>
  </si>
  <si>
    <t>HOSPITAL MILITAR SEDENA</t>
  </si>
  <si>
    <t>SEDENA</t>
  </si>
  <si>
    <t>HOSPITAL MILITAR DE LA MUJER SEDENA</t>
  </si>
  <si>
    <t>TLAXCALA</t>
  </si>
  <si>
    <t>SSA Tlaxcala</t>
  </si>
  <si>
    <t>HOSPITAL GENERAL TLAXCALA</t>
  </si>
  <si>
    <t>HOSPITAL GENERAL APIZACO</t>
  </si>
  <si>
    <t>PUEBLA</t>
  </si>
  <si>
    <t>SSA Puebla</t>
  </si>
  <si>
    <t>HOSPITAL NORTE SSA</t>
  </si>
  <si>
    <t>HOSPITAL SUR SSA</t>
  </si>
  <si>
    <t>HOSPITAL DE LA MUJER SSA</t>
  </si>
  <si>
    <t>HOSPITAL ONCOLOGIA</t>
  </si>
  <si>
    <t>Oaxaca, Oax.</t>
  </si>
  <si>
    <t>SSA OAXACA</t>
  </si>
  <si>
    <t>HOSP.GRAL. OAXACA  DR. AURELIO VALDIVIESO</t>
  </si>
  <si>
    <t>HOSPITAL REGIONAL  DE ALTA ESPECIALIDAD</t>
  </si>
  <si>
    <t>HOSPITAL DEL NIÑO OAXAQUEÑO</t>
  </si>
  <si>
    <t>QUERETARO</t>
  </si>
  <si>
    <t>SESEQ QUERÉTARO, QRO.</t>
  </si>
  <si>
    <t>INOVAMEDIK/MEDICROBA</t>
  </si>
  <si>
    <t>HOSPITAL GENERAL DE SAN JUAN DEL RIO QUERETARO</t>
  </si>
  <si>
    <t>Hospital GENERAL DE CADEREYTA</t>
  </si>
  <si>
    <t>HOSPITAL GENERAL DE JALPAN, QRO.</t>
  </si>
  <si>
    <t xml:space="preserve">HOSPITAL GENERAL QUERETARO </t>
  </si>
  <si>
    <t>HOSPITAL DE ESPECIALIDADES DE LA MUJER Y EL NIÑO</t>
  </si>
  <si>
    <t>REGIÓN 3</t>
  </si>
  <si>
    <t>KAM ISSSTE</t>
  </si>
  <si>
    <t>ALMA YAÑEZ</t>
  </si>
  <si>
    <t>CTE. /INTEGRADOR</t>
  </si>
  <si>
    <t>HOSPITALES ISSSTE  CDMX</t>
  </si>
  <si>
    <t>Nivel Nacional</t>
  </si>
  <si>
    <t>ASOKAM DIRECTO</t>
  </si>
  <si>
    <t>CMN "20 DE NOVIEMBRE"</t>
  </si>
  <si>
    <t>ISSSTE</t>
  </si>
  <si>
    <t>HR/HAE "PRIMERO DE OCTUBRE"</t>
  </si>
  <si>
    <t>HR/HAE "GRAL. IGNACIO ZARAGOZA"</t>
  </si>
  <si>
    <t>HR/HAE "LIC. ADOLFO LÓPEZ MATEOS"</t>
  </si>
  <si>
    <t>HG DRA. MATILDE PETRA MONTOYA LAFRAGUA</t>
  </si>
  <si>
    <t>HR/HAE "VALENTÍN GÓMEZ FARIAS", ZAPOPAN</t>
  </si>
  <si>
    <t>JALISCO</t>
  </si>
  <si>
    <t>HR/HAE "CENTENARIO DE LA REVOLUCIÓN MEXICANA"</t>
  </si>
  <si>
    <t>MORELOS</t>
  </si>
  <si>
    <t>HR/HAE "PRESIDENTE BENITO JUÁREZ", OAX.</t>
  </si>
  <si>
    <t>OAXACA</t>
  </si>
  <si>
    <t>HR/HAE "DR. M.CARDENAS DE LA VEGA",CULIACÁN</t>
  </si>
  <si>
    <t>SINALOA</t>
  </si>
  <si>
    <t>HG AGUASCALIENTES</t>
  </si>
  <si>
    <t>AGUASCALIENTES</t>
  </si>
  <si>
    <t>HG "DR. DARÍO FERNÁNDEZ FIERRO"</t>
  </si>
  <si>
    <t>HR/HAE MORELIA</t>
  </si>
  <si>
    <t>MICHOACAN</t>
  </si>
  <si>
    <t>CMF SALTILLO</t>
  </si>
  <si>
    <t>COAHUILA</t>
  </si>
  <si>
    <t>CE CTO. DE CIRUGIA AMB. "1º DE OCTUBRE"</t>
  </si>
  <si>
    <t>HG "DR. FERNANDO QUIROZ GUTIÉRREZ"</t>
  </si>
  <si>
    <t>HG TACUBA</t>
  </si>
  <si>
    <t>HR/HAE BICENTENARIO DE LA INDEPENDENCIA</t>
  </si>
  <si>
    <t>HR/HAE PUEBLA, PUE.</t>
  </si>
  <si>
    <t>HR/HAE VERACRUZ, VER.</t>
  </si>
  <si>
    <t>VERACRUZ</t>
  </si>
  <si>
    <t>HG "DR. FCO. GALINDO CHAVEZ", TORREÓN</t>
  </si>
  <si>
    <t>HG "DR. BELISARIO DOMINGUEZ", TUXTLA GUTIÉRREZ.</t>
  </si>
  <si>
    <t>CHIAPAS</t>
  </si>
  <si>
    <t>HG "GRAL. JOSÉ MARIA MORELOS Y PAVÓN"</t>
  </si>
  <si>
    <t>HG "DR. SANTIAGO RAMON Y CAJAL", DGO.</t>
  </si>
  <si>
    <t>DURANGO</t>
  </si>
  <si>
    <t>HG ACAPULCO</t>
  </si>
  <si>
    <t>GUERRERO</t>
  </si>
  <si>
    <t>HR/HAE LEÓN</t>
  </si>
  <si>
    <t>GUANAJUATO</t>
  </si>
  <si>
    <t>HG TOLUCA</t>
  </si>
  <si>
    <t>HR/HAE MONTERREY</t>
  </si>
  <si>
    <t>NUEVO LEON</t>
  </si>
  <si>
    <t>HG TEPIC</t>
  </si>
  <si>
    <t>NAYARIT</t>
  </si>
  <si>
    <t>HG QUERÉTARO</t>
  </si>
  <si>
    <t>QUERÉTARO</t>
  </si>
  <si>
    <t>HG "DR. FERNANDO OCARANZA", HERMOSILLO</t>
  </si>
  <si>
    <t>SONORA</t>
  </si>
  <si>
    <t>HR/HAE MÉRIDA</t>
  </si>
  <si>
    <t>HG ZACATECAS, ZAC.</t>
  </si>
  <si>
    <t>ZACATECAS</t>
  </si>
  <si>
    <t>HG "5 DE DICIEMBRE", MEXICALI</t>
  </si>
  <si>
    <t>BCN</t>
  </si>
  <si>
    <t>HG LA PAZ</t>
  </si>
  <si>
    <t>BCS</t>
  </si>
  <si>
    <t>HG "PRESIDENTE GRAL. LÁZARO CÁRDENAS", CHIHUAHUA</t>
  </si>
  <si>
    <t>CHIHUAHUA</t>
  </si>
  <si>
    <t>CE "LEONARDO Y NICOLÁS BRAVO"</t>
  </si>
  <si>
    <t>HG DRA. COLUMBA RIVERA OSORIO, PACHUCA</t>
  </si>
  <si>
    <t>CH CONSTITUCIÓN</t>
  </si>
  <si>
    <t>HG SAN LUIS POTOSÍ, S.L.P.</t>
  </si>
  <si>
    <t>SLP</t>
  </si>
  <si>
    <t>HG TLAXCALA, TLAX.</t>
  </si>
  <si>
    <t>HG TAMPICO</t>
  </si>
  <si>
    <t>TAMAULIPAS</t>
  </si>
  <si>
    <t>CH XALAPA</t>
  </si>
  <si>
    <t>CH MÉRIDA</t>
  </si>
  <si>
    <t>CH ENSENADA</t>
  </si>
  <si>
    <t>HG "FRAY JUNÍPERO SERRA", TIJUANA</t>
  </si>
  <si>
    <t>CH SAN JOSÉ DEL CABO</t>
  </si>
  <si>
    <t>CH "DR. PATRICIO TRUEBA REGIL", CAMP.</t>
  </si>
  <si>
    <t>CAMPECHE</t>
  </si>
  <si>
    <t>HG CD. JUÁREZ</t>
  </si>
  <si>
    <t>CH "DR. MIGUEL TREJO OCHOA", COLIMA</t>
  </si>
  <si>
    <t>COLIMA</t>
  </si>
  <si>
    <t>CH "DR. ROBERTO NETTEL F.", TAPACHULA</t>
  </si>
  <si>
    <t>CE CHURUBUSCO</t>
  </si>
  <si>
    <t>CE "DR. ALBERTO PISANTY OVADIA"</t>
  </si>
  <si>
    <t>CH GÓMEZ PALACIO</t>
  </si>
  <si>
    <t>CH CHILPANCINGO DE LOS BRAVO</t>
  </si>
  <si>
    <t>CH IGUALA DE LA INDEPENDENCIA</t>
  </si>
  <si>
    <t>CH CELAYA</t>
  </si>
  <si>
    <t>CH GUANAJUATO, GTO.</t>
  </si>
  <si>
    <t>CH IRAPUATO</t>
  </si>
  <si>
    <t>CE GUADALAJARA</t>
  </si>
  <si>
    <t>CMFE XALOSTOC</t>
  </si>
  <si>
    <t>CMFE JOJUTLA DE JUÁREZ</t>
  </si>
  <si>
    <t>CMFE PUEBLA, PUE.</t>
  </si>
  <si>
    <t>CH CD. CANCÚN</t>
  </si>
  <si>
    <t>Q.ROO</t>
  </si>
  <si>
    <t>CH LOS MOCHIS</t>
  </si>
  <si>
    <t>CH MAZATLÁN</t>
  </si>
  <si>
    <t>CH CD. OBREGÓN</t>
  </si>
  <si>
    <t>CH "DR. MANUEL F. RODRIGUEZ", MATAMOROS</t>
  </si>
  <si>
    <t>CH "AGOSTO 12", NUEVO LAREDO</t>
  </si>
  <si>
    <t>CH "DR. BAUDELIO VILLANUEVA", REYNOSA</t>
  </si>
  <si>
    <t>CH CD. VICTORIA</t>
  </si>
  <si>
    <t>CH POZA RICA DE HIDALGO</t>
  </si>
  <si>
    <t>CMF CÓRDOBA</t>
  </si>
  <si>
    <t>CH "DR. RAFAEL BARBA OCAMPO", CUAUTLA</t>
  </si>
  <si>
    <t xml:space="preserve">REGIÓN 4       </t>
  </si>
  <si>
    <t>UNIDAD</t>
  </si>
  <si>
    <t>ALEJANDRO AGISS</t>
  </si>
  <si>
    <t>CIUDAD DE MEXICO</t>
  </si>
  <si>
    <t>HOSPITALES E INSTITUTOS</t>
  </si>
  <si>
    <t>ASOKAM/IMSS BIENESTAR</t>
  </si>
  <si>
    <t>INSTITUTO NACIONAL NEUROLOGIA</t>
  </si>
  <si>
    <t>INSTITUTO NAL ENF RESPIRATORIAS</t>
  </si>
  <si>
    <t>INSTITUTO NAL NURTICION Y C. MÉDICAS SZ</t>
  </si>
  <si>
    <t>INSTITUTO NAL REHABILITACION</t>
  </si>
  <si>
    <t>INSTITUTO NAL CARDIOLOGIA</t>
  </si>
  <si>
    <t>HOSPITAL GEA GONZALEZ</t>
  </si>
  <si>
    <t>INSTITUTONACIONAL DE CANCEROLOGIA</t>
  </si>
  <si>
    <t>ASOKAM-ADVANTA PHARMA</t>
  </si>
  <si>
    <t>HOSPITAL PEMEX SUR</t>
  </si>
  <si>
    <t>PEMEX</t>
  </si>
  <si>
    <t>PROVISIONAL: PEMEX A NIVEL NACIONAL EXCEPTO VERACRUZ, CAMPECHE Y TABASCO</t>
  </si>
  <si>
    <t>HOSPITAL PEMEX NORTE</t>
  </si>
  <si>
    <t>Directo Asokam/ HOSPIMEDICAL/HITEC</t>
  </si>
  <si>
    <t>HOSPITAL NAVAL  (MARINA)</t>
  </si>
  <si>
    <t>MARINA</t>
  </si>
  <si>
    <t xml:space="preserve">MORELOS </t>
  </si>
  <si>
    <t>SSA Morelos</t>
  </si>
  <si>
    <t>SANTEK HEALT</t>
  </si>
  <si>
    <t>HOSPITAL GENERAL G PARRES</t>
  </si>
  <si>
    <t>HOSPITAL GENERAL DE TEMIXCO</t>
  </si>
  <si>
    <t>HOSPITAL GENERAL DE CUAUTLA</t>
  </si>
  <si>
    <t>HOSPITAL DE LA MUJER DE YAUTEPEC</t>
  </si>
  <si>
    <t>HIDALGO</t>
  </si>
  <si>
    <t>SSA HIDALGO</t>
  </si>
  <si>
    <t>HOSPITAL GENERAL HIDALGO</t>
  </si>
  <si>
    <t>HOSPITAL GENERAL TULANCINGO</t>
  </si>
  <si>
    <t>HOSPITAL DEL NIÑO DE HIDALGO</t>
  </si>
  <si>
    <t>HOSPITAL DE LA MUJER HIDALGUENSE</t>
  </si>
  <si>
    <t>HOSPITAL PEMEX TULA</t>
  </si>
  <si>
    <t>SSA GUERRERO</t>
  </si>
  <si>
    <t>HOSPITAL GENERAL IGUALA</t>
  </si>
  <si>
    <t>HOSPITAL GENERAL ACAPULCO, GUERRERO</t>
  </si>
  <si>
    <t>HOSPITAL MATERNO  CHILPANCINGO, GRO.</t>
  </si>
  <si>
    <t>HOSPITAL GENERAL DE CHILPANCINGO</t>
  </si>
  <si>
    <t>HOSPITAL GENERAL DE IXTAPA  ZIHUATANEJO</t>
  </si>
  <si>
    <t>REGIÓN 5</t>
  </si>
  <si>
    <t>Ejecutivo</t>
  </si>
  <si>
    <t>VACANTE</t>
  </si>
  <si>
    <t>SSA JALISCO</t>
  </si>
  <si>
    <t>Asokam/Sanabria</t>
  </si>
  <si>
    <t>HOSPITAL  CIVIL NUEVO</t>
  </si>
  <si>
    <t>HOSPITAL  CIVIL VIEJO</t>
  </si>
  <si>
    <t>Dimesa Jalisco</t>
  </si>
  <si>
    <t>HOSPITAL MATERNO INFANTIL DE LA SECRETARIA DE SALUD</t>
  </si>
  <si>
    <t>HOSPITAL GENERAL DE OCCIDENTE</t>
  </si>
  <si>
    <t>HOSPITAL  ONCOLOGIA</t>
  </si>
  <si>
    <t>HOSPITAL GENERAL DE TEPATITLAN</t>
  </si>
  <si>
    <t>SSA Colima</t>
  </si>
  <si>
    <t>HOSPITAL REGIONAL (UNIVERSITARIO) DE COLIMA</t>
  </si>
  <si>
    <t>HOSPITAL DE LA MUJER COLIMA</t>
  </si>
  <si>
    <t>NUEVO HOSPITAL GRAL DE COLIMA</t>
  </si>
  <si>
    <t>HOSPITAL ONCOLOGICO DE COLIMA</t>
  </si>
  <si>
    <t>SSA MORELIA</t>
  </si>
  <si>
    <t xml:space="preserve">HG DR. MIGUEL SILVA </t>
  </si>
  <si>
    <t xml:space="preserve">HOSPITAL DE LA MUJER </t>
  </si>
  <si>
    <t xml:space="preserve">HG INFANTIL EVA SAMANO DE LÓPEZ MATEOS </t>
  </si>
  <si>
    <t xml:space="preserve">CENTRO ESTATAL DE ATENCION ONCOLOGICA </t>
  </si>
  <si>
    <t>NAYARIT (TEPIC)</t>
  </si>
  <si>
    <t>SSA NAYARIT</t>
  </si>
  <si>
    <t>HOSPITAL GRAL. TEPIC, NAYARIT</t>
  </si>
  <si>
    <t>HOSPITAL DE LA MUJER TEPIC, NAYARIT</t>
  </si>
  <si>
    <t xml:space="preserve">REGIÓN 6 </t>
  </si>
  <si>
    <t>SSA NUEVO LEON</t>
  </si>
  <si>
    <t>Cliente</t>
  </si>
  <si>
    <t>HOSPITALES NUEVO LEÓN (MONTERREY)</t>
  </si>
  <si>
    <t>DIRECTO ASOKAM</t>
  </si>
  <si>
    <t>HOSPITAL METROPLITANO NUEVO LEON</t>
  </si>
  <si>
    <t>AHMSA/ASOKAM</t>
  </si>
  <si>
    <t xml:space="preserve">HOSPITAL  UNIVERSITARIO DE NVO.LEON </t>
  </si>
  <si>
    <t>SSA Tamaulipas</t>
  </si>
  <si>
    <t>ASPAMEDICAL/SIA</t>
  </si>
  <si>
    <t xml:space="preserve">HG HOSPITAL GENERAL DE MATAMOROS DR. ALFREDO PUMAREJO </t>
  </si>
  <si>
    <t xml:space="preserve">HG HOSPITAL GENERAL NUEVO LAREDO </t>
  </si>
  <si>
    <t xml:space="preserve">HG HOSPITAL GENERAL REYNOSA DR. JOSÉ MARÍA CANTÚ GARZA </t>
  </si>
  <si>
    <t xml:space="preserve">HG HOSPITAL GENERAL TAMPICO DR. CARLOS CANSECO </t>
  </si>
  <si>
    <t xml:space="preserve">HE HOSPITAL INFANTIL DE TAMAULIPAS </t>
  </si>
  <si>
    <t xml:space="preserve">HG HOSPITAL GENERAL CIVIL CIUDAD VICTORIA DR. JOSÉ MACÍAS HERNÁNDEZ </t>
  </si>
  <si>
    <t xml:space="preserve">HG HOSPITAL GENERAL VICTORIA DR. NORBERTO TREVIÑO ZAPATA </t>
  </si>
  <si>
    <t xml:space="preserve">HE HOSPITAL REGIONAL DE ALTA ESPECIALIDAD EN CD VICTORIA BICENTENARIO 2010 </t>
  </si>
  <si>
    <t>COAHUILA Y DURNAGO</t>
  </si>
  <si>
    <t>SSA COAHUILA Y DURANGO</t>
  </si>
  <si>
    <t xml:space="preserve">HOSPITAL GENERAL DE SALTILLO </t>
  </si>
  <si>
    <t>HOSPITAL MAGISTERIO SECC. 38 SALTILLO</t>
  </si>
  <si>
    <t xml:space="preserve">HOSPITAL GENERAL TORREÓN </t>
  </si>
  <si>
    <t>HOSPITAL GENERAL 450 DURANGO</t>
  </si>
  <si>
    <t>ITINERARIO E INSTITUCIONES QUE CONFORMAN LA RUTA</t>
  </si>
  <si>
    <t>REGIÓN 7</t>
  </si>
  <si>
    <t>HOSPITALES VERACRUZ</t>
  </si>
  <si>
    <t>SSA Veracruz</t>
  </si>
  <si>
    <t>BIOSSMAN/PLARRE</t>
  </si>
  <si>
    <t xml:space="preserve">HOSPITAL GENERAL VERACRUZ </t>
  </si>
  <si>
    <t>HOSPITAL GENERAL DE CORDOBA</t>
  </si>
  <si>
    <t>HOSPITAL CEM JALAPA</t>
  </si>
  <si>
    <t>HOSPITAL NAVAL</t>
  </si>
  <si>
    <t>SEMAR</t>
  </si>
  <si>
    <t>HOSPITAL  ONCOLOGIA (CECAN) JALAPA</t>
  </si>
  <si>
    <t>HOSPITAL ISSSTE CORDOBA</t>
  </si>
  <si>
    <t>No Venta</t>
  </si>
  <si>
    <t>POR DETERMINAR</t>
  </si>
  <si>
    <t>ORIZABA, VERACRUZ.</t>
  </si>
  <si>
    <t>SSA VERACRUZ</t>
  </si>
  <si>
    <t xml:space="preserve">REGIÓN 8  </t>
  </si>
  <si>
    <t>Alexander Pozos</t>
  </si>
  <si>
    <t>HOSPITALES VILLAHERMOSA:</t>
  </si>
  <si>
    <t>SSA TABASCO</t>
  </si>
  <si>
    <t>ASPAMEDICAL/SIA/ DECAMEDIC</t>
  </si>
  <si>
    <t xml:space="preserve">HOSPITAL DEL NIÑO DR. RODOLFO NIETO PADRÓN </t>
  </si>
  <si>
    <t xml:space="preserve">HOSPITAL REGIONAL DE ALTA ESPECIALIDAD DR. GUSTAVO A. ROVIROSA PÉREZ </t>
  </si>
  <si>
    <t xml:space="preserve">HOSPITAL REGIONAL DE ALTA ESPECIALIDAD DR. JUAN GRAHAM CASASUS </t>
  </si>
  <si>
    <t>SSA Tabasco/ ISSET (Ceiba 121, Centro)</t>
  </si>
  <si>
    <t>ISSET</t>
  </si>
  <si>
    <t>ASOKAM/ADVANTA PHARMA</t>
  </si>
  <si>
    <t xml:space="preserve">Hospital Regional Pemex Villahermosa </t>
  </si>
  <si>
    <t>BIOSSMAN/SIA</t>
  </si>
  <si>
    <t>HOSPITAL REGIONAL DE JALAPA "LUIS F. NACHÓN"</t>
  </si>
  <si>
    <t>HOSPITAL CENTRO DE ALTA ESPECIALIDAD "RAFAEL LUCIO" JALAPA</t>
  </si>
  <si>
    <t>HOSPITAL REGIONAL PEMEX VERACRUZ</t>
  </si>
  <si>
    <t>QUINTANA ROO Y CAMPECHE</t>
  </si>
  <si>
    <t>SSA QUINTANA ROO Y SSA CAMPECHE</t>
  </si>
  <si>
    <t xml:space="preserve">HOSPITAL GENERAL DE CANCUN DR. JESÚS KUMATE RODRÍGUEZ </t>
  </si>
  <si>
    <t>HOSPITAL GENERAL DE PLAYA DEL CARMEN</t>
  </si>
  <si>
    <t>HOSPITAL GENERAL DE ESPECIALIDADES "DR. JAVIER BUENFIL OSORIO"</t>
  </si>
  <si>
    <t>HOSPIAL DE CANCEROLOGÍA DE CAMPECHE</t>
  </si>
  <si>
    <t>HOSPITAL PEMEX CD. CARMEN, CAMPECHE</t>
  </si>
  <si>
    <t>TUXTLA GTZ CHIAPAS</t>
  </si>
  <si>
    <t>SSA CHIAPAS</t>
  </si>
  <si>
    <t>IMSS/BIENESTAR/DECAMEDIC</t>
  </si>
  <si>
    <t>HOSPITAL GENERAL RAFAEL PASCASIO GAMBOA</t>
  </si>
  <si>
    <t>HOSPITAL BELISARIO DOMINGUEZ</t>
  </si>
  <si>
    <t>HOSPITAL MATERNO  CHIAPAS NOS UNE</t>
  </si>
  <si>
    <t>ISTECH</t>
  </si>
  <si>
    <t xml:space="preserve">REGIÓN 9  </t>
  </si>
  <si>
    <t>VACANTE PROVISIONAL: VICTOR FLORES (APOYO)</t>
  </si>
  <si>
    <t>SSA GUANAJUATO</t>
  </si>
  <si>
    <t>Dimesa/Pharmajal</t>
  </si>
  <si>
    <t>HOSPITAL GENERAL LEON Y ONCOLOGIA</t>
  </si>
  <si>
    <t>HOSPITAL  R. DE ALTA ESPECIALIDAD  DEL BAJIO</t>
  </si>
  <si>
    <t>HOSPITAL GENERAL DE GUANAJUATO</t>
  </si>
  <si>
    <t>HOSPITAL GENERAL DE IRAPUATO</t>
  </si>
  <si>
    <t>Directo/Asokam</t>
  </si>
  <si>
    <t>HOSPITAL PEMEX  SALAMANCA</t>
  </si>
  <si>
    <t>SAN LUIS POTOSI</t>
  </si>
  <si>
    <t>SSA SAN LUIS POTOSÍ</t>
  </si>
  <si>
    <t xml:space="preserve">HOSPITAL GENERAL CD. VALLES </t>
  </si>
  <si>
    <t xml:space="preserve">HOSPITAL DEL NIÑO Y LA MUJER DR. ALBERTO LÓPEZ HERMOSA </t>
  </si>
  <si>
    <t xml:space="preserve">HOSPITAL GENERAL DE SOLEDAD DE GRACIANO SÁNCHEZ </t>
  </si>
  <si>
    <t xml:space="preserve">HOSPITAL CENTRAL DR. IGNACIO MORONES PRIETO </t>
  </si>
  <si>
    <t>SSA ZACATECAS</t>
  </si>
  <si>
    <t xml:space="preserve">HOSPITAL GENERAL JEREZ </t>
  </si>
  <si>
    <t xml:space="preserve">HOSPITAL GENERAL FRESNILLO (DR. JOSÉ HARO ÁVILA) </t>
  </si>
  <si>
    <t xml:space="preserve">HOSPITAL GENERAL ZACATECAS LUZ GONZÁLEZ COSIO </t>
  </si>
  <si>
    <t>SSA Aguascalientes</t>
  </si>
  <si>
    <t xml:space="preserve">ASOKAM/C&amp;M </t>
  </si>
  <si>
    <t xml:space="preserve">CENTENARIO HOSPITAL MIGUEL HIDALGO </t>
  </si>
  <si>
    <t xml:space="preserve">HOSPITAL GENERAL TERCER MILENIO </t>
  </si>
  <si>
    <t xml:space="preserve">HOSPITAL GENERAL RINCÓN DE ROMOS </t>
  </si>
  <si>
    <t xml:space="preserve">REGIÓN 10  </t>
  </si>
  <si>
    <t>Ejecutivo.</t>
  </si>
  <si>
    <t>SSA BAJA CALIFORNIA NORTE</t>
  </si>
  <si>
    <t>BAJA CALIFORNIA NORTE</t>
  </si>
  <si>
    <t>HOSPITAL GENERAL</t>
  </si>
  <si>
    <t>ISSSTECALI/DISTR.</t>
  </si>
  <si>
    <t>ISSSTECALI TIJUANA</t>
  </si>
  <si>
    <t>MEXICALI</t>
  </si>
  <si>
    <t xml:space="preserve">HOSPITAL GENERAL DE MEXICALI </t>
  </si>
  <si>
    <t>ISSSTECALI MEXICALI</t>
  </si>
  <si>
    <t>BAJA CALIFORNIA  SUR</t>
  </si>
  <si>
    <t>SSA BAJA CALIFORNIA SUR</t>
  </si>
  <si>
    <t xml:space="preserve">B. HOSPITAL GENERAL CON ESPECIALIDADES JUAN MARÍA DE SALVATIERRA </t>
  </si>
  <si>
    <t>SSA SONORA</t>
  </si>
  <si>
    <t>HOSPITAL MATERNO INFANTIL DEL ESTADO DE SONORA (HIES)</t>
  </si>
  <si>
    <t>HOSPITAL INTEGRAL DE LA MUJER DEL ESTADO DE SONORA (HIMES)</t>
  </si>
  <si>
    <t xml:space="preserve">HOSPITAL GENERAL DEL ESTADO DR. ERNESTO RAMOS BOURS </t>
  </si>
  <si>
    <t>HOSPITAL DEL NIÑO Y  LA MUJER DE CD. OBREGÓN</t>
  </si>
  <si>
    <t>HOSPITAL GENERAL DE CD. OBREGÓN</t>
  </si>
  <si>
    <t>SSA SINALOA</t>
  </si>
  <si>
    <t>ASPAMEICAL/SIA</t>
  </si>
  <si>
    <t>HOSPITAL GENERAL DE CULIACAN</t>
  </si>
  <si>
    <t>HOSPITAL GENERAL MAZATLÁN</t>
  </si>
  <si>
    <t>HOSPITAL CIVIL DE CULIACÁN</t>
  </si>
  <si>
    <t>OPD</t>
  </si>
  <si>
    <t>SSA CHIHUAHUA</t>
  </si>
  <si>
    <t>GPO. CIMARRÓN/AYGOKEROS</t>
  </si>
  <si>
    <t>HOSPITAL CENTRAL UNIVERSITARO DE CHIHUAHUA</t>
  </si>
  <si>
    <t>HOSPITAL GENERAL CHIHUAHUA DR. SALVADOR ZUBIRÁN</t>
  </si>
  <si>
    <t>HOSPITAL INFANTIL DE ESPECIALIDADES DE CHIHUAHUA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</si>
</sst>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_-* #,##0.00_-;\-* #,##0.00_-;_-* &quot;-&quot;??_-;_-@"/>
    <numFmt numFmtId="166" formatCode="#,##0.00000"/>
  </numFmts>
  <fonts count="32" x14ac:knownFonts="1">
    <font>
      <sz val="11"/>
      <name val="Calibri"/>
      <scheme val="minor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2"/>
      <color rgb="FF000000"/>
      <name val="Tahoma"/>
    </font>
    <font>
      <b/>
      <sz val="8"/>
      <name val="Tahoma"/>
    </font>
    <font>
      <b/>
      <sz val="12"/>
      <color rgb="FFFF0000"/>
      <name val="Tahoma"/>
    </font>
    <font>
      <b/>
      <sz val="9"/>
      <color rgb="FF000000"/>
      <name val="Tahoma"/>
    </font>
    <font>
      <sz val="9"/>
      <name val="Calibri"/>
    </font>
    <font>
      <sz val="8"/>
      <color rgb="FF000000"/>
      <name val="Tahoma"/>
    </font>
    <font>
      <sz val="11"/>
      <color rgb="FF000000"/>
      <name val="Calibri"/>
    </font>
    <font>
      <b/>
      <sz val="12"/>
      <name val="Tahoma"/>
    </font>
    <font>
      <b/>
      <sz val="12"/>
      <name val="Tahoma"/>
    </font>
    <font>
      <b/>
      <sz val="10"/>
      <name val="Calibri"/>
    </font>
    <font>
      <sz val="8"/>
      <name val="Tahoma"/>
    </font>
    <font>
      <sz val="11"/>
      <name val="Calibri"/>
    </font>
    <font>
      <sz val="9"/>
      <name val="Calibri"/>
    </font>
    <font>
      <b/>
      <sz val="9"/>
      <name val="Calibri"/>
    </font>
    <font>
      <b/>
      <sz val="9"/>
      <name val="Calibri"/>
    </font>
    <font>
      <sz val="8"/>
      <color rgb="FF000000"/>
      <name val="Arial"/>
    </font>
    <font>
      <b/>
      <sz val="10"/>
      <name val="Calibri"/>
    </font>
    <font>
      <b/>
      <sz val="12"/>
      <name val="Calibri"/>
    </font>
    <font>
      <b/>
      <sz val="8"/>
      <name val="Tahoma"/>
    </font>
    <font>
      <sz val="9"/>
      <color rgb="FF002060"/>
      <name val="Calibri"/>
    </font>
    <font>
      <sz val="11"/>
      <color rgb="FFFF0000"/>
      <name val="Calibri"/>
    </font>
    <font>
      <sz val="8"/>
      <name val="Arial"/>
    </font>
    <font>
      <sz val="8"/>
      <name val="Arial"/>
    </font>
    <font>
      <sz val="9"/>
      <color rgb="FF000000"/>
      <name val="Tahoma"/>
    </font>
    <font>
      <b/>
      <sz val="16"/>
      <color rgb="FFFF0000"/>
      <name val="Calibri"/>
    </font>
    <font>
      <b/>
      <sz val="14"/>
      <name val="Calibri"/>
    </font>
    <font>
      <b/>
      <sz val="14"/>
      <color rgb="FFFF0000"/>
      <name val="Calibri"/>
    </font>
    <font>
      <b/>
      <sz val="10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0F243E"/>
        <bgColor rgb="FF0F243E"/>
      </patternFill>
    </fill>
    <fill>
      <patternFill patternType="solid">
        <fgColor rgb="FFB8CCE4"/>
        <bgColor rgb="FFB8CCE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1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3" fillId="0" borderId="2" xfId="0" applyFont="1" applyBorder="1"/>
    <xf numFmtId="14" fontId="1" fillId="0" borderId="4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left" vertical="center" readingOrder="1"/>
    </xf>
    <xf numFmtId="0" fontId="1" fillId="3" borderId="8" xfId="0" applyFont="1" applyFill="1" applyBorder="1"/>
    <xf numFmtId="0" fontId="5" fillId="3" borderId="8" xfId="0" applyFont="1" applyFill="1" applyBorder="1" applyAlignment="1">
      <alignment horizontal="center" vertical="center" readingOrder="1"/>
    </xf>
    <xf numFmtId="0" fontId="4" fillId="0" borderId="4" xfId="0" applyFont="1" applyBorder="1" applyAlignment="1">
      <alignment horizontal="left" vertical="center" readingOrder="1"/>
    </xf>
    <xf numFmtId="0" fontId="5" fillId="0" borderId="5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left" vertical="center" readingOrder="1"/>
    </xf>
    <xf numFmtId="0" fontId="7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1" fillId="2" borderId="10" xfId="0" applyFont="1" applyFill="1" applyBorder="1"/>
    <xf numFmtId="0" fontId="9" fillId="0" borderId="6" xfId="0" applyFont="1" applyBorder="1" applyAlignment="1">
      <alignment horizontal="left" vertical="center" readingOrder="1"/>
    </xf>
    <xf numFmtId="0" fontId="10" fillId="0" borderId="6" xfId="0" applyFont="1" applyBorder="1" applyAlignment="1">
      <alignment horizontal="left" vertical="center" readingOrder="1"/>
    </xf>
    <xf numFmtId="3" fontId="8" fillId="0" borderId="6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0" fillId="0" borderId="7" xfId="0" applyFont="1" applyBorder="1" applyAlignment="1">
      <alignment horizontal="left" vertical="center" readingOrder="1"/>
    </xf>
    <xf numFmtId="3" fontId="8" fillId="0" borderId="7" xfId="0" applyNumberFormat="1" applyFont="1" applyBorder="1" applyAlignment="1">
      <alignment horizontal="center"/>
    </xf>
    <xf numFmtId="1" fontId="8" fillId="0" borderId="12" xfId="0" applyNumberFormat="1" applyFont="1" applyBorder="1" applyAlignment="1">
      <alignment horizontal="center"/>
    </xf>
    <xf numFmtId="3" fontId="8" fillId="0" borderId="12" xfId="0" applyNumberFormat="1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6" xfId="0" applyFont="1" applyBorder="1"/>
    <xf numFmtId="3" fontId="8" fillId="0" borderId="1" xfId="0" applyNumberFormat="1" applyFont="1" applyBorder="1" applyAlignment="1">
      <alignment horizontal="center"/>
    </xf>
    <xf numFmtId="0" fontId="3" fillId="0" borderId="0" xfId="0" applyFont="1"/>
    <xf numFmtId="0" fontId="1" fillId="0" borderId="15" xfId="0" applyFont="1" applyBorder="1"/>
    <xf numFmtId="0" fontId="4" fillId="0" borderId="2" xfId="0" applyFont="1" applyBorder="1" applyAlignment="1">
      <alignment horizontal="left" vertical="center" readingOrder="1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1" fillId="0" borderId="2" xfId="0" applyFont="1" applyBorder="1"/>
    <xf numFmtId="3" fontId="8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vertical="center" wrapText="1"/>
    </xf>
    <xf numFmtId="0" fontId="1" fillId="0" borderId="17" xfId="0" applyFont="1" applyBorder="1"/>
    <xf numFmtId="0" fontId="12" fillId="3" borderId="18" xfId="0" applyFont="1" applyFill="1" applyBorder="1" applyAlignment="1">
      <alignment horizontal="left" vertical="center" readingOrder="1"/>
    </xf>
    <xf numFmtId="0" fontId="1" fillId="3" borderId="18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3" fontId="12" fillId="3" borderId="18" xfId="0" applyNumberFormat="1" applyFont="1" applyFill="1" applyBorder="1" applyAlignment="1">
      <alignment horizontal="center" vertical="center"/>
    </xf>
    <xf numFmtId="164" fontId="8" fillId="3" borderId="18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21" xfId="0" applyFont="1" applyBorder="1"/>
    <xf numFmtId="0" fontId="1" fillId="0" borderId="22" xfId="0" applyFont="1" applyBorder="1"/>
    <xf numFmtId="17" fontId="1" fillId="0" borderId="26" xfId="0" applyNumberFormat="1" applyFont="1" applyBorder="1" applyAlignment="1">
      <alignment wrapText="1"/>
    </xf>
    <xf numFmtId="17" fontId="1" fillId="0" borderId="26" xfId="0" applyNumberFormat="1" applyFont="1" applyBorder="1" applyAlignment="1">
      <alignment horizontal="center" wrapText="1"/>
    </xf>
    <xf numFmtId="0" fontId="1" fillId="0" borderId="26" xfId="0" applyFont="1" applyBorder="1" applyAlignment="1">
      <alignment wrapText="1"/>
    </xf>
    <xf numFmtId="0" fontId="1" fillId="0" borderId="27" xfId="0" applyFont="1" applyBorder="1"/>
    <xf numFmtId="0" fontId="1" fillId="0" borderId="28" xfId="0" applyFont="1" applyBorder="1"/>
    <xf numFmtId="0" fontId="1" fillId="0" borderId="32" xfId="0" applyFont="1" applyBorder="1" applyAlignment="1">
      <alignment wrapText="1"/>
    </xf>
    <xf numFmtId="0" fontId="11" fillId="0" borderId="4" xfId="0" applyFont="1" applyBorder="1" applyAlignment="1">
      <alignment horizontal="left" vertical="center" readingOrder="1"/>
    </xf>
    <xf numFmtId="0" fontId="11" fillId="0" borderId="2" xfId="0" applyFont="1" applyBorder="1" applyAlignment="1">
      <alignment horizontal="left" vertical="center" readingOrder="1"/>
    </xf>
    <xf numFmtId="0" fontId="11" fillId="0" borderId="3" xfId="0" applyFont="1" applyBorder="1" applyAlignment="1">
      <alignment horizontal="left" vertical="center" readingOrder="1"/>
    </xf>
    <xf numFmtId="0" fontId="1" fillId="0" borderId="3" xfId="0" applyFont="1" applyBorder="1"/>
    <xf numFmtId="0" fontId="11" fillId="0" borderId="4" xfId="0" applyFont="1" applyBorder="1" applyAlignment="1">
      <alignment horizontal="left" vertical="center" readingOrder="1"/>
    </xf>
    <xf numFmtId="0" fontId="1" fillId="0" borderId="1" xfId="0" applyFont="1" applyBorder="1"/>
    <xf numFmtId="0" fontId="14" fillId="0" borderId="6" xfId="0" applyFont="1" applyBorder="1" applyAlignment="1">
      <alignment horizontal="left" vertical="center" readingOrder="1"/>
    </xf>
    <xf numFmtId="0" fontId="15" fillId="0" borderId="6" xfId="0" applyFont="1" applyBorder="1" applyAlignment="1">
      <alignment horizontal="left" vertical="center" readingOrder="1"/>
    </xf>
    <xf numFmtId="3" fontId="16" fillId="0" borderId="6" xfId="0" applyNumberFormat="1" applyFont="1" applyBorder="1" applyAlignment="1">
      <alignment horizontal="center"/>
    </xf>
    <xf numFmtId="3" fontId="17" fillId="0" borderId="6" xfId="0" applyNumberFormat="1" applyFont="1" applyBorder="1" applyAlignment="1">
      <alignment horizontal="center"/>
    </xf>
    <xf numFmtId="3" fontId="18" fillId="0" borderId="6" xfId="0" applyNumberFormat="1" applyFont="1" applyBorder="1" applyAlignment="1">
      <alignment horizontal="center"/>
    </xf>
    <xf numFmtId="0" fontId="15" fillId="0" borderId="7" xfId="0" applyFont="1" applyBorder="1" applyAlignment="1">
      <alignment horizontal="left" vertical="center" readingOrder="1"/>
    </xf>
    <xf numFmtId="0" fontId="14" fillId="0" borderId="1" xfId="0" applyFont="1" applyBorder="1" applyAlignment="1">
      <alignment horizontal="left" vertical="center" readingOrder="1"/>
    </xf>
    <xf numFmtId="0" fontId="10" fillId="0" borderId="1" xfId="0" applyFont="1" applyBorder="1" applyAlignment="1">
      <alignment horizontal="left" vertical="center" readingOrder="1"/>
    </xf>
    <xf numFmtId="3" fontId="8" fillId="0" borderId="20" xfId="0" applyNumberFormat="1" applyFont="1" applyBorder="1" applyAlignment="1">
      <alignment horizontal="center"/>
    </xf>
    <xf numFmtId="0" fontId="14" fillId="0" borderId="7" xfId="0" applyFont="1" applyBorder="1" applyAlignment="1">
      <alignment horizontal="left" vertical="center" readingOrder="1"/>
    </xf>
    <xf numFmtId="3" fontId="8" fillId="0" borderId="33" xfId="0" applyNumberFormat="1" applyFont="1" applyBorder="1" applyAlignment="1">
      <alignment horizontal="center"/>
    </xf>
    <xf numFmtId="0" fontId="19" fillId="0" borderId="1" xfId="0" applyFont="1" applyBorder="1" applyAlignment="1">
      <alignment horizontal="left" vertical="center" readingOrder="1"/>
    </xf>
    <xf numFmtId="0" fontId="1" fillId="0" borderId="19" xfId="0" applyFont="1" applyBorder="1" applyAlignment="1">
      <alignment horizontal="center"/>
    </xf>
    <xf numFmtId="3" fontId="8" fillId="0" borderId="9" xfId="0" applyNumberFormat="1" applyFont="1" applyBorder="1" applyAlignment="1">
      <alignment horizontal="center"/>
    </xf>
    <xf numFmtId="0" fontId="19" fillId="0" borderId="6" xfId="0" applyFont="1" applyBorder="1" applyAlignment="1">
      <alignment horizontal="left" vertical="center" readingOrder="1"/>
    </xf>
    <xf numFmtId="3" fontId="8" fillId="0" borderId="15" xfId="0" applyNumberFormat="1" applyFont="1" applyBorder="1" applyAlignment="1">
      <alignment horizontal="center"/>
    </xf>
    <xf numFmtId="0" fontId="1" fillId="0" borderId="7" xfId="0" applyFont="1" applyBorder="1"/>
    <xf numFmtId="0" fontId="11" fillId="0" borderId="33" xfId="0" applyFont="1" applyBorder="1" applyAlignment="1">
      <alignment horizontal="left" vertical="center" readingOrder="1"/>
    </xf>
    <xf numFmtId="0" fontId="1" fillId="0" borderId="19" xfId="0" applyFont="1" applyBorder="1" applyAlignment="1">
      <alignment horizontal="center" vertical="center"/>
    </xf>
    <xf numFmtId="0" fontId="1" fillId="0" borderId="33" xfId="0" applyFont="1" applyBorder="1"/>
    <xf numFmtId="3" fontId="8" fillId="0" borderId="17" xfId="0" applyNumberFormat="1" applyFont="1" applyBorder="1" applyAlignment="1">
      <alignment horizontal="center"/>
    </xf>
    <xf numFmtId="3" fontId="8" fillId="0" borderId="34" xfId="0" applyNumberFormat="1" applyFont="1" applyBorder="1" applyAlignment="1">
      <alignment horizontal="center"/>
    </xf>
    <xf numFmtId="0" fontId="11" fillId="0" borderId="9" xfId="0" applyFont="1" applyBorder="1"/>
    <xf numFmtId="3" fontId="8" fillId="0" borderId="19" xfId="0" applyNumberFormat="1" applyFont="1" applyBorder="1" applyAlignment="1">
      <alignment horizontal="center"/>
    </xf>
    <xf numFmtId="0" fontId="1" fillId="0" borderId="0" xfId="0" applyFont="1"/>
    <xf numFmtId="0" fontId="1" fillId="0" borderId="12" xfId="0" applyFont="1" applyBorder="1"/>
    <xf numFmtId="1" fontId="8" fillId="0" borderId="20" xfId="0" applyNumberFormat="1" applyFont="1" applyBorder="1" applyAlignment="1">
      <alignment horizontal="center"/>
    </xf>
    <xf numFmtId="17" fontId="1" fillId="0" borderId="32" xfId="0" applyNumberFormat="1" applyFont="1" applyBorder="1" applyAlignment="1">
      <alignment horizontal="center" wrapText="1"/>
    </xf>
    <xf numFmtId="0" fontId="21" fillId="0" borderId="0" xfId="0" applyFont="1"/>
    <xf numFmtId="0" fontId="13" fillId="2" borderId="10" xfId="0" applyFont="1" applyFill="1" applyBorder="1" applyAlignment="1">
      <alignment vertical="center" wrapText="1"/>
    </xf>
    <xf numFmtId="0" fontId="22" fillId="0" borderId="4" xfId="0" applyFont="1" applyBorder="1" applyAlignment="1">
      <alignment horizontal="left" vertical="center" readingOrder="1"/>
    </xf>
    <xf numFmtId="0" fontId="13" fillId="2" borderId="11" xfId="0" applyFont="1" applyFill="1" applyBorder="1" applyAlignment="1">
      <alignment vertical="center" wrapText="1"/>
    </xf>
    <xf numFmtId="0" fontId="19" fillId="0" borderId="0" xfId="0" applyFont="1" applyAlignment="1">
      <alignment horizontal="left" vertical="center" readingOrder="1"/>
    </xf>
    <xf numFmtId="0" fontId="23" fillId="4" borderId="35" xfId="0" applyFont="1" applyFill="1" applyBorder="1"/>
    <xf numFmtId="0" fontId="23" fillId="2" borderId="36" xfId="0" applyFont="1" applyFill="1" applyBorder="1"/>
    <xf numFmtId="0" fontId="23" fillId="4" borderId="36" xfId="0" applyFont="1" applyFill="1" applyBorder="1"/>
    <xf numFmtId="0" fontId="24" fillId="0" borderId="0" xfId="0" applyFont="1"/>
    <xf numFmtId="0" fontId="23" fillId="4" borderId="37" xfId="0" applyFont="1" applyFill="1" applyBorder="1"/>
    <xf numFmtId="0" fontId="12" fillId="3" borderId="8" xfId="0" applyFont="1" applyFill="1" applyBorder="1" applyAlignment="1">
      <alignment horizontal="left" vertical="center" readingOrder="1"/>
    </xf>
    <xf numFmtId="0" fontId="1" fillId="2" borderId="13" xfId="0" applyFont="1" applyFill="1" applyBorder="1"/>
    <xf numFmtId="0" fontId="11" fillId="0" borderId="2" xfId="0" applyFont="1" applyBorder="1" applyAlignment="1">
      <alignment horizontal="left" vertical="center" readingOrder="1"/>
    </xf>
    <xf numFmtId="0" fontId="1" fillId="0" borderId="5" xfId="0" applyFont="1" applyBorder="1"/>
    <xf numFmtId="0" fontId="25" fillId="0" borderId="6" xfId="0" applyFont="1" applyBorder="1" applyAlignment="1">
      <alignment horizontal="left" vertical="center" readingOrder="1"/>
    </xf>
    <xf numFmtId="0" fontId="15" fillId="0" borderId="15" xfId="0" applyFont="1" applyBorder="1" applyAlignment="1">
      <alignment horizontal="left" vertical="center" readingOrder="1"/>
    </xf>
    <xf numFmtId="0" fontId="1" fillId="0" borderId="3" xfId="0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0" fontId="26" fillId="0" borderId="6" xfId="0" applyFont="1" applyBorder="1"/>
    <xf numFmtId="0" fontId="1" fillId="0" borderId="0" xfId="0" applyFont="1" applyAlignment="1">
      <alignment wrapText="1"/>
    </xf>
    <xf numFmtId="0" fontId="6" fillId="0" borderId="4" xfId="0" applyFont="1" applyBorder="1" applyAlignment="1">
      <alignment horizontal="left" vertical="center" readingOrder="1"/>
    </xf>
    <xf numFmtId="0" fontId="1" fillId="0" borderId="9" xfId="0" applyFont="1" applyBorder="1"/>
    <xf numFmtId="0" fontId="27" fillId="0" borderId="6" xfId="0" applyFont="1" applyBorder="1" applyAlignment="1">
      <alignment horizontal="left" vertical="center" readingOrder="1"/>
    </xf>
    <xf numFmtId="0" fontId="10" fillId="0" borderId="0" xfId="0" applyFont="1" applyAlignment="1">
      <alignment horizontal="left" vertical="center" readingOrder="1"/>
    </xf>
    <xf numFmtId="0" fontId="4" fillId="0" borderId="2" xfId="0" applyFont="1" applyBorder="1"/>
    <xf numFmtId="0" fontId="27" fillId="0" borderId="1" xfId="0" applyFont="1" applyBorder="1" applyAlignment="1">
      <alignment horizontal="left" vertical="center" readingOrder="1"/>
    </xf>
    <xf numFmtId="0" fontId="11" fillId="0" borderId="4" xfId="0" applyFont="1" applyBorder="1"/>
    <xf numFmtId="0" fontId="28" fillId="0" borderId="2" xfId="0" applyFont="1" applyBorder="1"/>
    <xf numFmtId="0" fontId="29" fillId="0" borderId="4" xfId="0" applyFont="1" applyBorder="1"/>
    <xf numFmtId="3" fontId="18" fillId="0" borderId="0" xfId="0" applyNumberFormat="1" applyFont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 vertical="center" readingOrder="1"/>
    </xf>
    <xf numFmtId="0" fontId="6" fillId="0" borderId="19" xfId="0" applyFont="1" applyBorder="1" applyAlignment="1">
      <alignment horizontal="left" vertical="center" readingOrder="1"/>
    </xf>
    <xf numFmtId="0" fontId="4" fillId="0" borderId="19" xfId="0" applyFont="1" applyBorder="1" applyAlignment="1">
      <alignment horizontal="left" vertical="center" readingOrder="1"/>
    </xf>
    <xf numFmtId="0" fontId="10" fillId="0" borderId="9" xfId="0" applyFont="1" applyBorder="1" applyAlignment="1">
      <alignment horizontal="left" vertical="center" readingOrder="1"/>
    </xf>
    <xf numFmtId="0" fontId="1" fillId="0" borderId="9" xfId="0" applyFont="1" applyBorder="1" applyAlignment="1">
      <alignment horizontal="center" vertical="center"/>
    </xf>
    <xf numFmtId="165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left" vertical="center" readingOrder="1"/>
    </xf>
    <xf numFmtId="0" fontId="4" fillId="0" borderId="0" xfId="0" applyFont="1" applyAlignment="1">
      <alignment horizontal="left" vertical="center" readingOrder="1"/>
    </xf>
    <xf numFmtId="0" fontId="11" fillId="0" borderId="19" xfId="0" applyFont="1" applyBorder="1"/>
    <xf numFmtId="0" fontId="11" fillId="0" borderId="4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5" xfId="0" applyFont="1" applyBorder="1" applyAlignment="1">
      <alignment wrapText="1"/>
    </xf>
    <xf numFmtId="166" fontId="8" fillId="0" borderId="5" xfId="0" applyNumberFormat="1" applyFont="1" applyBorder="1" applyAlignment="1">
      <alignment horizontal="center"/>
    </xf>
    <xf numFmtId="0" fontId="1" fillId="0" borderId="19" xfId="0" applyFont="1" applyBorder="1"/>
    <xf numFmtId="0" fontId="19" fillId="0" borderId="15" xfId="0" applyFont="1" applyBorder="1" applyAlignment="1">
      <alignment horizontal="left" vertical="center" readingOrder="1"/>
    </xf>
    <xf numFmtId="0" fontId="10" fillId="0" borderId="15" xfId="0" applyFont="1" applyBorder="1" applyAlignment="1">
      <alignment horizontal="left" vertical="center" readingOrder="1"/>
    </xf>
    <xf numFmtId="0" fontId="19" fillId="0" borderId="4" xfId="0" applyFont="1" applyBorder="1" applyAlignment="1">
      <alignment horizontal="left" vertical="center" readingOrder="1"/>
    </xf>
    <xf numFmtId="0" fontId="10" fillId="0" borderId="2" xfId="0" applyFont="1" applyBorder="1" applyAlignment="1">
      <alignment horizontal="left" vertical="center" readingOrder="1"/>
    </xf>
    <xf numFmtId="0" fontId="1" fillId="0" borderId="3" xfId="0" applyFont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4" fillId="0" borderId="19" xfId="0" applyFont="1" applyBorder="1"/>
    <xf numFmtId="0" fontId="30" fillId="0" borderId="2" xfId="0" applyFont="1" applyBorder="1"/>
    <xf numFmtId="0" fontId="4" fillId="0" borderId="4" xfId="0" applyFont="1" applyBorder="1"/>
    <xf numFmtId="3" fontId="18" fillId="0" borderId="33" xfId="0" applyNumberFormat="1" applyFont="1" applyBorder="1" applyAlignment="1">
      <alignment horizontal="center"/>
    </xf>
    <xf numFmtId="3" fontId="18" fillId="0" borderId="34" xfId="0" applyNumberFormat="1" applyFont="1" applyBorder="1" applyAlignment="1">
      <alignment horizontal="center"/>
    </xf>
    <xf numFmtId="3" fontId="18" fillId="0" borderId="12" xfId="0" applyNumberFormat="1" applyFont="1" applyBorder="1" applyAlignment="1">
      <alignment horizontal="center"/>
    </xf>
    <xf numFmtId="0" fontId="4" fillId="2" borderId="8" xfId="0" applyFont="1" applyFill="1" applyBorder="1" applyAlignment="1">
      <alignment horizontal="left" vertical="center" readingOrder="1"/>
    </xf>
    <xf numFmtId="3" fontId="8" fillId="0" borderId="2" xfId="0" applyNumberFormat="1" applyFont="1" applyBorder="1" applyAlignment="1">
      <alignment horizontal="center"/>
    </xf>
    <xf numFmtId="3" fontId="8" fillId="0" borderId="29" xfId="0" applyNumberFormat="1" applyFont="1" applyBorder="1" applyAlignment="1">
      <alignment horizontal="center" wrapText="1"/>
    </xf>
    <xf numFmtId="0" fontId="2" fillId="0" borderId="30" xfId="0" applyFont="1" applyBorder="1"/>
    <xf numFmtId="0" fontId="2" fillId="0" borderId="31" xfId="0" applyFont="1" applyBorder="1"/>
    <xf numFmtId="3" fontId="8" fillId="0" borderId="19" xfId="0" applyNumberFormat="1" applyFont="1" applyBorder="1" applyAlignment="1">
      <alignment horizontal="center" wrapText="1"/>
    </xf>
    <xf numFmtId="0" fontId="2" fillId="0" borderId="9" xfId="0" applyFont="1" applyBorder="1"/>
    <xf numFmtId="0" fontId="2" fillId="0" borderId="20" xfId="0" applyFont="1" applyBorder="1"/>
    <xf numFmtId="3" fontId="8" fillId="0" borderId="23" xfId="0" applyNumberFormat="1" applyFont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3" fontId="8" fillId="0" borderId="23" xfId="0" applyNumberFormat="1" applyFont="1" applyBorder="1" applyAlignment="1">
      <alignment horizont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2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6" fillId="0" borderId="2" xfId="0" applyFont="1" applyBorder="1" applyAlignment="1">
      <alignment horizontal="left" vertical="center" wrapText="1" readingOrder="1"/>
    </xf>
    <xf numFmtId="0" fontId="13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left" vertical="center" wrapText="1" readingOrder="1"/>
    </xf>
    <xf numFmtId="3" fontId="8" fillId="0" borderId="9" xfId="0" applyNumberFormat="1" applyFont="1" applyBorder="1" applyAlignment="1">
      <alignment horizontal="center" wrapText="1"/>
    </xf>
    <xf numFmtId="0" fontId="13" fillId="2" borderId="1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479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69545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95450" cy="116205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695450" cy="1162050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95450" cy="1162050"/>
    <xdr:pic>
      <xdr:nvPicPr>
        <xdr:cNvPr id="2" name="image5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695450" cy="1162050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695450" cy="1162050"/>
    <xdr:pic>
      <xdr:nvPicPr>
        <xdr:cNvPr id="2" name="image7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95450" cy="1162050"/>
    <xdr:pic>
      <xdr:nvPicPr>
        <xdr:cNvPr id="2" name="image8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695450" cy="1162050"/>
    <xdr:pic>
      <xdr:nvPicPr>
        <xdr:cNvPr id="2" name="image9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695450" cy="1162050"/>
    <xdr:pic>
      <xdr:nvPicPr>
        <xdr:cNvPr id="2" name="image10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"/>
  <sheetViews>
    <sheetView tabSelected="1" workbookViewId="0"/>
  </sheetViews>
  <sheetFormatPr defaultColWidth="14.390625" defaultRowHeight="15" customHeight="1" x14ac:dyDescent="0.2"/>
  <cols>
    <col min="1" max="1" width="8.0703125" hidden="1" customWidth="1"/>
    <col min="2" max="2" width="32.8203125" customWidth="1"/>
    <col min="3" max="3" width="53.5390625" customWidth="1"/>
    <col min="4" max="4" width="12.5078125" customWidth="1"/>
    <col min="5" max="5" width="11.43359375" customWidth="1"/>
    <col min="6" max="6" width="11.8359375" customWidth="1"/>
    <col min="7" max="7" width="20.04296875" customWidth="1"/>
    <col min="8" max="11" width="10.76171875" customWidth="1"/>
  </cols>
  <sheetData>
    <row r="1" spans="2:9" ht="30.75" customHeight="1" x14ac:dyDescent="0.2">
      <c r="B1" s="169"/>
      <c r="C1" s="170" t="s">
        <v>0</v>
      </c>
      <c r="D1" s="171"/>
      <c r="E1" s="171"/>
      <c r="F1" s="171"/>
      <c r="G1" s="2" t="s">
        <v>1</v>
      </c>
      <c r="H1" s="167" t="s">
        <v>2</v>
      </c>
      <c r="I1" s="168"/>
    </row>
    <row r="2" spans="2:9" ht="30.75" customHeight="1" x14ac:dyDescent="0.2">
      <c r="B2" s="162"/>
      <c r="C2" s="170" t="s">
        <v>3</v>
      </c>
      <c r="D2" s="171"/>
      <c r="E2" s="171"/>
      <c r="F2" s="171"/>
      <c r="G2" s="2" t="s">
        <v>4</v>
      </c>
      <c r="H2" s="3" t="s">
        <v>5</v>
      </c>
      <c r="I2" s="4">
        <v>46268</v>
      </c>
    </row>
    <row r="3" spans="2:9" ht="30.75" customHeight="1" x14ac:dyDescent="0.2">
      <c r="B3" s="163"/>
      <c r="C3" s="170" t="s">
        <v>6</v>
      </c>
      <c r="D3" s="171"/>
      <c r="E3" s="171"/>
      <c r="F3" s="171"/>
      <c r="G3" s="4">
        <v>46268</v>
      </c>
    </row>
    <row r="4" spans="2:9" x14ac:dyDescent="0.2">
      <c r="B4" s="5" t="s">
        <v>7</v>
      </c>
      <c r="C4" s="6"/>
      <c r="D4" s="7" t="s">
        <v>8</v>
      </c>
      <c r="E4" s="7" t="s">
        <v>9</v>
      </c>
      <c r="F4" s="7" t="s">
        <v>10</v>
      </c>
      <c r="G4" s="7" t="s">
        <v>11</v>
      </c>
    </row>
    <row r="5" spans="2:9" ht="15.75" customHeight="1" x14ac:dyDescent="0.2">
      <c r="B5" s="8" t="s">
        <v>12</v>
      </c>
      <c r="C5" s="172" t="s">
        <v>13</v>
      </c>
      <c r="D5" s="171"/>
      <c r="E5" s="171"/>
      <c r="F5" s="171"/>
      <c r="G5" s="9"/>
    </row>
    <row r="6" spans="2:9" ht="15" customHeight="1" x14ac:dyDescent="0.2">
      <c r="B6" s="10" t="s">
        <v>14</v>
      </c>
      <c r="C6" s="10" t="s">
        <v>15</v>
      </c>
      <c r="D6" s="11" t="s">
        <v>16</v>
      </c>
      <c r="E6" s="12"/>
      <c r="F6" s="12"/>
      <c r="G6" s="13"/>
    </row>
    <row r="7" spans="2:9" x14ac:dyDescent="0.2">
      <c r="B7" s="14" t="s">
        <v>17</v>
      </c>
      <c r="C7" s="15" t="s">
        <v>18</v>
      </c>
      <c r="D7" s="16" t="s">
        <v>19</v>
      </c>
      <c r="E7" s="17">
        <v>33</v>
      </c>
      <c r="F7" s="18">
        <v>22664.359433458001</v>
      </c>
      <c r="G7" s="19" t="s">
        <v>20</v>
      </c>
    </row>
    <row r="8" spans="2:9" x14ac:dyDescent="0.2">
      <c r="B8" s="14" t="s">
        <v>17</v>
      </c>
      <c r="C8" s="15" t="s">
        <v>21</v>
      </c>
      <c r="D8" s="16" t="s">
        <v>19</v>
      </c>
      <c r="E8" s="17">
        <v>13</v>
      </c>
      <c r="F8" s="18">
        <v>8928.3840192410498</v>
      </c>
      <c r="G8" s="19" t="s">
        <v>20</v>
      </c>
    </row>
    <row r="9" spans="2:9" x14ac:dyDescent="0.2">
      <c r="B9" s="14" t="s">
        <v>17</v>
      </c>
      <c r="C9" s="15" t="s">
        <v>22</v>
      </c>
      <c r="D9" s="16" t="s">
        <v>19</v>
      </c>
      <c r="E9" s="17">
        <v>10</v>
      </c>
      <c r="F9" s="18">
        <v>6867.9877071085002</v>
      </c>
      <c r="G9" s="19" t="s">
        <v>20</v>
      </c>
    </row>
    <row r="10" spans="2:9" x14ac:dyDescent="0.2">
      <c r="B10" s="14" t="s">
        <v>17</v>
      </c>
      <c r="C10" s="15" t="s">
        <v>23</v>
      </c>
      <c r="D10" s="16" t="s">
        <v>19</v>
      </c>
      <c r="E10" s="17">
        <v>5</v>
      </c>
      <c r="F10" s="18">
        <v>3433.9938535542501</v>
      </c>
      <c r="G10" s="19" t="s">
        <v>20</v>
      </c>
    </row>
    <row r="11" spans="2:9" x14ac:dyDescent="0.2">
      <c r="B11" s="14" t="s">
        <v>17</v>
      </c>
      <c r="C11" s="15" t="s">
        <v>24</v>
      </c>
      <c r="D11" s="16" t="s">
        <v>19</v>
      </c>
      <c r="E11" s="17">
        <v>3</v>
      </c>
      <c r="F11" s="18">
        <v>2150</v>
      </c>
      <c r="G11" s="19" t="s">
        <v>20</v>
      </c>
    </row>
    <row r="12" spans="2:9" x14ac:dyDescent="0.2">
      <c r="B12" s="14" t="s">
        <v>17</v>
      </c>
      <c r="C12" s="20" t="s">
        <v>25</v>
      </c>
      <c r="D12" s="21" t="s">
        <v>19</v>
      </c>
      <c r="E12" s="22">
        <v>4</v>
      </c>
      <c r="F12" s="23">
        <v>2747.1950828434001</v>
      </c>
      <c r="G12" s="24" t="s">
        <v>26</v>
      </c>
    </row>
    <row r="13" spans="2:9" x14ac:dyDescent="0.2">
      <c r="B13" s="14" t="s">
        <v>27</v>
      </c>
      <c r="C13" s="8" t="s">
        <v>28</v>
      </c>
      <c r="D13" s="25" t="s">
        <v>29</v>
      </c>
      <c r="E13" s="26"/>
      <c r="F13" s="27"/>
      <c r="G13" s="28" t="s">
        <v>30</v>
      </c>
    </row>
    <row r="14" spans="2:9" x14ac:dyDescent="0.2">
      <c r="B14" s="14" t="s">
        <v>27</v>
      </c>
      <c r="C14" s="29" t="s">
        <v>31</v>
      </c>
      <c r="D14" s="30" t="s">
        <v>32</v>
      </c>
      <c r="E14" s="17">
        <v>7</v>
      </c>
      <c r="F14" s="18">
        <v>7873.5913949759497</v>
      </c>
      <c r="G14" s="161" t="s">
        <v>30</v>
      </c>
    </row>
    <row r="15" spans="2:9" x14ac:dyDescent="0.2">
      <c r="B15" s="14" t="s">
        <v>27</v>
      </c>
      <c r="C15" s="29" t="s">
        <v>33</v>
      </c>
      <c r="D15" s="16" t="s">
        <v>32</v>
      </c>
      <c r="E15" s="17">
        <v>4</v>
      </c>
      <c r="F15" s="18">
        <v>4499.1950828433992</v>
      </c>
      <c r="G15" s="162"/>
    </row>
    <row r="16" spans="2:9" x14ac:dyDescent="0.2">
      <c r="B16" s="14" t="s">
        <v>27</v>
      </c>
      <c r="C16" s="29" t="s">
        <v>34</v>
      </c>
      <c r="D16" s="16" t="s">
        <v>32</v>
      </c>
      <c r="E16" s="17">
        <v>4</v>
      </c>
      <c r="F16" s="18">
        <v>4499</v>
      </c>
      <c r="G16" s="162"/>
      <c r="H16" s="31"/>
    </row>
    <row r="17" spans="2:8" x14ac:dyDescent="0.2">
      <c r="B17" s="14" t="s">
        <v>27</v>
      </c>
      <c r="C17" s="29" t="s">
        <v>35</v>
      </c>
      <c r="D17" s="16" t="s">
        <v>32</v>
      </c>
      <c r="E17" s="17">
        <v>3</v>
      </c>
      <c r="F17" s="18">
        <v>2150</v>
      </c>
      <c r="G17" s="162"/>
      <c r="H17" s="31"/>
    </row>
    <row r="18" spans="2:8" x14ac:dyDescent="0.2">
      <c r="B18" s="14" t="s">
        <v>27</v>
      </c>
      <c r="C18" s="29" t="s">
        <v>36</v>
      </c>
      <c r="D18" s="16" t="s">
        <v>32</v>
      </c>
      <c r="E18" s="17">
        <v>4</v>
      </c>
      <c r="F18" s="18">
        <v>4499</v>
      </c>
      <c r="G18" s="162"/>
      <c r="H18" s="31"/>
    </row>
    <row r="19" spans="2:8" x14ac:dyDescent="0.2">
      <c r="B19" s="14" t="s">
        <v>27</v>
      </c>
      <c r="C19" s="29" t="s">
        <v>37</v>
      </c>
      <c r="D19" s="16" t="s">
        <v>32</v>
      </c>
      <c r="E19" s="17">
        <v>4</v>
      </c>
      <c r="F19" s="18">
        <v>4499</v>
      </c>
      <c r="G19" s="162"/>
      <c r="H19" s="31"/>
    </row>
    <row r="20" spans="2:8" x14ac:dyDescent="0.2">
      <c r="B20" s="14" t="s">
        <v>27</v>
      </c>
      <c r="C20" s="29" t="s">
        <v>38</v>
      </c>
      <c r="D20" s="16" t="s">
        <v>32</v>
      </c>
      <c r="E20" s="17">
        <v>3</v>
      </c>
      <c r="F20" s="18">
        <v>3374</v>
      </c>
      <c r="G20" s="162"/>
    </row>
    <row r="21" spans="2:8" ht="15.75" customHeight="1" x14ac:dyDescent="0.2">
      <c r="B21" s="14" t="s">
        <v>27</v>
      </c>
      <c r="C21" s="29" t="s">
        <v>39</v>
      </c>
      <c r="D21" s="16" t="s">
        <v>32</v>
      </c>
      <c r="E21" s="17">
        <v>2</v>
      </c>
      <c r="F21" s="18">
        <v>2250</v>
      </c>
      <c r="G21" s="162"/>
    </row>
    <row r="22" spans="2:8" ht="15.75" customHeight="1" x14ac:dyDescent="0.2">
      <c r="B22" s="14" t="s">
        <v>27</v>
      </c>
      <c r="C22" s="32" t="s">
        <v>40</v>
      </c>
      <c r="D22" s="21" t="s">
        <v>32</v>
      </c>
      <c r="E22" s="22">
        <v>2</v>
      </c>
      <c r="F22" s="23">
        <v>2250</v>
      </c>
      <c r="G22" s="163"/>
    </row>
    <row r="23" spans="2:8" ht="15.75" customHeight="1" x14ac:dyDescent="0.2">
      <c r="B23" s="10" t="s">
        <v>14</v>
      </c>
      <c r="C23" s="33" t="s">
        <v>41</v>
      </c>
      <c r="D23" s="25" t="s">
        <v>29</v>
      </c>
      <c r="E23" s="26"/>
      <c r="F23" s="27"/>
      <c r="G23" s="28" t="s">
        <v>30</v>
      </c>
    </row>
    <row r="24" spans="2:8" ht="15.75" customHeight="1" x14ac:dyDescent="0.2">
      <c r="B24" s="14" t="s">
        <v>42</v>
      </c>
      <c r="C24" s="32" t="s">
        <v>43</v>
      </c>
      <c r="D24" s="34" t="s">
        <v>44</v>
      </c>
      <c r="E24" s="17">
        <v>7</v>
      </c>
      <c r="F24" s="18">
        <v>7874</v>
      </c>
      <c r="G24" s="164" t="s">
        <v>30</v>
      </c>
    </row>
    <row r="25" spans="2:8" ht="15" customHeight="1" x14ac:dyDescent="0.2">
      <c r="B25" s="14" t="s">
        <v>42</v>
      </c>
      <c r="C25" s="32" t="s">
        <v>45</v>
      </c>
      <c r="D25" s="16" t="s">
        <v>44</v>
      </c>
      <c r="E25" s="35">
        <v>4</v>
      </c>
      <c r="F25" s="18">
        <v>4499</v>
      </c>
      <c r="G25" s="162"/>
    </row>
    <row r="26" spans="2:8" ht="15.75" customHeight="1" x14ac:dyDescent="0.2">
      <c r="B26" s="14" t="s">
        <v>42</v>
      </c>
      <c r="C26" s="32" t="s">
        <v>46</v>
      </c>
      <c r="D26" s="16" t="s">
        <v>44</v>
      </c>
      <c r="E26" s="35">
        <v>4</v>
      </c>
      <c r="F26" s="18">
        <v>4499</v>
      </c>
      <c r="G26" s="162"/>
    </row>
    <row r="27" spans="2:8" ht="15.75" customHeight="1" x14ac:dyDescent="0.2">
      <c r="B27" s="14" t="s">
        <v>42</v>
      </c>
      <c r="C27" s="32" t="s">
        <v>47</v>
      </c>
      <c r="D27" s="16" t="s">
        <v>44</v>
      </c>
      <c r="E27" s="35">
        <v>3</v>
      </c>
      <c r="F27" s="18">
        <v>3374</v>
      </c>
      <c r="G27" s="162"/>
    </row>
    <row r="28" spans="2:8" ht="15.75" customHeight="1" x14ac:dyDescent="0.2">
      <c r="B28" s="14" t="s">
        <v>42</v>
      </c>
      <c r="C28" s="32" t="s">
        <v>48</v>
      </c>
      <c r="D28" s="16" t="s">
        <v>44</v>
      </c>
      <c r="E28" s="35">
        <v>3</v>
      </c>
      <c r="F28" s="18">
        <v>3374</v>
      </c>
      <c r="G28" s="162"/>
    </row>
    <row r="29" spans="2:8" ht="15.75" customHeight="1" x14ac:dyDescent="0.2">
      <c r="B29" s="14" t="s">
        <v>42</v>
      </c>
      <c r="C29" s="32" t="s">
        <v>49</v>
      </c>
      <c r="D29" s="16" t="s">
        <v>44</v>
      </c>
      <c r="E29" s="35">
        <v>8</v>
      </c>
      <c r="F29" s="18">
        <v>8760</v>
      </c>
      <c r="G29" s="162"/>
    </row>
    <row r="30" spans="2:8" ht="15.75" customHeight="1" x14ac:dyDescent="0.2">
      <c r="B30" s="14" t="s">
        <v>42</v>
      </c>
      <c r="C30" s="32" t="s">
        <v>50</v>
      </c>
      <c r="D30" s="16" t="s">
        <v>44</v>
      </c>
      <c r="E30" s="35">
        <v>8</v>
      </c>
      <c r="F30" s="18">
        <v>7680</v>
      </c>
      <c r="G30" s="165"/>
    </row>
    <row r="31" spans="2:8" ht="15.75" customHeight="1" x14ac:dyDescent="0.2">
      <c r="B31" s="10" t="s">
        <v>14</v>
      </c>
      <c r="C31" s="36" t="s">
        <v>51</v>
      </c>
      <c r="D31" s="37"/>
      <c r="E31" s="37"/>
      <c r="F31" s="27"/>
      <c r="G31" s="38"/>
    </row>
    <row r="32" spans="2:8" ht="15.75" customHeight="1" x14ac:dyDescent="0.2">
      <c r="B32" s="29" t="s">
        <v>52</v>
      </c>
      <c r="C32" s="32" t="s">
        <v>53</v>
      </c>
      <c r="D32" s="30" t="s">
        <v>19</v>
      </c>
      <c r="E32" s="18">
        <v>7</v>
      </c>
      <c r="F32" s="18">
        <v>6596.0913949759497</v>
      </c>
      <c r="G32" s="166" t="s">
        <v>54</v>
      </c>
    </row>
    <row r="33" spans="1:7" ht="15.75" customHeight="1" x14ac:dyDescent="0.2">
      <c r="B33" s="29" t="s">
        <v>52</v>
      </c>
      <c r="C33" s="32" t="s">
        <v>55</v>
      </c>
      <c r="D33" s="16" t="s">
        <v>19</v>
      </c>
      <c r="E33" s="18">
        <v>6</v>
      </c>
      <c r="F33" s="18">
        <v>5653.7926242651001</v>
      </c>
      <c r="G33" s="162"/>
    </row>
    <row r="34" spans="1:7" ht="15.75" customHeight="1" x14ac:dyDescent="0.2">
      <c r="B34" s="29" t="s">
        <v>52</v>
      </c>
      <c r="C34" s="32" t="s">
        <v>56</v>
      </c>
      <c r="D34" s="16" t="s">
        <v>19</v>
      </c>
      <c r="E34" s="18">
        <v>4</v>
      </c>
      <c r="F34" s="18">
        <v>3769.1950828433996</v>
      </c>
      <c r="G34" s="162"/>
    </row>
    <row r="35" spans="1:7" ht="15.75" customHeight="1" x14ac:dyDescent="0.2">
      <c r="B35" s="29" t="s">
        <v>52</v>
      </c>
      <c r="C35" s="39" t="s">
        <v>57</v>
      </c>
      <c r="D35" s="21" t="s">
        <v>19</v>
      </c>
      <c r="E35" s="23">
        <v>2</v>
      </c>
      <c r="F35" s="23">
        <v>2250</v>
      </c>
      <c r="G35" s="165"/>
    </row>
    <row r="36" spans="1:7" ht="15.75" customHeight="1" x14ac:dyDescent="0.2">
      <c r="B36" s="39"/>
      <c r="C36" s="40" t="s">
        <v>58</v>
      </c>
      <c r="D36" s="41"/>
      <c r="E36" s="42"/>
      <c r="F36" s="43">
        <f>SUM(F7:F35)</f>
        <v>141014.78567610899</v>
      </c>
      <c r="G36" s="44"/>
    </row>
    <row r="37" spans="1:7" ht="15.75" customHeight="1" x14ac:dyDescent="0.2">
      <c r="D37" s="45"/>
      <c r="E37" s="35"/>
      <c r="F37" s="35"/>
    </row>
    <row r="38" spans="1:7" ht="15.75" customHeight="1" x14ac:dyDescent="0.2">
      <c r="B38" s="2" t="s">
        <v>59</v>
      </c>
      <c r="C38" s="154" t="s">
        <v>60</v>
      </c>
      <c r="D38" s="155"/>
      <c r="E38" s="156"/>
      <c r="F38" s="46" t="s">
        <v>61</v>
      </c>
      <c r="G38" s="46" t="s">
        <v>61</v>
      </c>
    </row>
    <row r="39" spans="1:7" ht="21" customHeight="1" x14ac:dyDescent="0.2">
      <c r="A39" s="47" t="s">
        <v>62</v>
      </c>
      <c r="B39" s="48" t="s">
        <v>63</v>
      </c>
      <c r="C39" s="157" t="s">
        <v>64</v>
      </c>
      <c r="D39" s="158"/>
      <c r="E39" s="159"/>
      <c r="F39" s="49"/>
      <c r="G39" s="50">
        <v>45658</v>
      </c>
    </row>
    <row r="40" spans="1:7" ht="21" customHeight="1" x14ac:dyDescent="0.2">
      <c r="A40" s="47" t="s">
        <v>62</v>
      </c>
      <c r="B40" s="48" t="s">
        <v>65</v>
      </c>
      <c r="C40" s="160" t="s">
        <v>66</v>
      </c>
      <c r="D40" s="158"/>
      <c r="E40" s="159"/>
      <c r="F40" s="51"/>
      <c r="G40" s="50">
        <v>45658</v>
      </c>
    </row>
    <row r="41" spans="1:7" ht="21" customHeight="1" x14ac:dyDescent="0.2">
      <c r="A41" s="52" t="s">
        <v>67</v>
      </c>
      <c r="B41" s="53" t="s">
        <v>68</v>
      </c>
      <c r="C41" s="151" t="s">
        <v>69</v>
      </c>
      <c r="D41" s="152"/>
      <c r="E41" s="153"/>
      <c r="F41" s="54"/>
      <c r="G41" s="50">
        <v>45658</v>
      </c>
    </row>
    <row r="42" spans="1:7" ht="15.75" customHeight="1" x14ac:dyDescent="0.2">
      <c r="D42" s="45"/>
      <c r="E42" s="35"/>
      <c r="F42" s="35"/>
    </row>
    <row r="43" spans="1:7" ht="15.75" customHeight="1" x14ac:dyDescent="0.2">
      <c r="D43" s="45"/>
      <c r="E43" s="35"/>
      <c r="F43" s="35"/>
    </row>
    <row r="44" spans="1:7" ht="15.75" customHeight="1" x14ac:dyDescent="0.2">
      <c r="D44" s="45"/>
      <c r="E44" s="35"/>
      <c r="F44" s="35"/>
    </row>
    <row r="45" spans="1:7" ht="15.75" customHeight="1" x14ac:dyDescent="0.2">
      <c r="D45" s="45"/>
      <c r="E45" s="35"/>
      <c r="F45" s="35"/>
    </row>
    <row r="46" spans="1:7" ht="15.75" customHeight="1" x14ac:dyDescent="0.2">
      <c r="D46" s="45"/>
      <c r="E46" s="35"/>
      <c r="F46" s="35"/>
    </row>
    <row r="47" spans="1:7" ht="15.75" customHeight="1" x14ac:dyDescent="0.2">
      <c r="D47" s="45"/>
      <c r="E47" s="35"/>
      <c r="F47" s="35"/>
    </row>
    <row r="48" spans="1:7" ht="15.75" customHeight="1" x14ac:dyDescent="0.2">
      <c r="D48" s="45"/>
      <c r="E48" s="35"/>
      <c r="F48" s="35"/>
    </row>
    <row r="49" spans="4:6" ht="15.75" customHeight="1" x14ac:dyDescent="0.2">
      <c r="D49" s="45"/>
      <c r="E49" s="35"/>
      <c r="F49" s="35"/>
    </row>
    <row r="50" spans="4:6" ht="15.75" customHeight="1" x14ac:dyDescent="0.2">
      <c r="D50" s="45"/>
      <c r="E50" s="35"/>
      <c r="F50" s="35"/>
    </row>
    <row r="51" spans="4:6" ht="15.75" customHeight="1" x14ac:dyDescent="0.2">
      <c r="D51" s="45"/>
      <c r="E51" s="35"/>
      <c r="F51" s="35"/>
    </row>
    <row r="52" spans="4:6" ht="15.75" customHeight="1" x14ac:dyDescent="0.2">
      <c r="D52" s="45"/>
      <c r="E52" s="35"/>
      <c r="F52" s="35"/>
    </row>
    <row r="53" spans="4:6" ht="15.75" customHeight="1" x14ac:dyDescent="0.2">
      <c r="D53" s="45"/>
      <c r="E53" s="35"/>
      <c r="F53" s="35"/>
    </row>
    <row r="54" spans="4:6" ht="15.75" customHeight="1" x14ac:dyDescent="0.2">
      <c r="D54" s="45"/>
      <c r="E54" s="35"/>
      <c r="F54" s="35"/>
    </row>
    <row r="55" spans="4:6" ht="15.75" customHeight="1" x14ac:dyDescent="0.2">
      <c r="D55" s="45"/>
      <c r="E55" s="35"/>
      <c r="F55" s="35"/>
    </row>
    <row r="56" spans="4:6" ht="15.75" customHeight="1" x14ac:dyDescent="0.2">
      <c r="D56" s="45"/>
      <c r="E56" s="35"/>
      <c r="F56" s="35"/>
    </row>
    <row r="57" spans="4:6" ht="15.75" customHeight="1" x14ac:dyDescent="0.2">
      <c r="D57" s="45"/>
      <c r="E57" s="35"/>
      <c r="F57" s="35"/>
    </row>
    <row r="58" spans="4:6" ht="15.75" customHeight="1" x14ac:dyDescent="0.2">
      <c r="D58" s="45"/>
      <c r="E58" s="35"/>
      <c r="F58" s="35"/>
    </row>
    <row r="59" spans="4:6" ht="15.75" customHeight="1" x14ac:dyDescent="0.2">
      <c r="D59" s="45"/>
      <c r="E59" s="35"/>
      <c r="F59" s="35"/>
    </row>
    <row r="60" spans="4:6" ht="15.75" customHeight="1" x14ac:dyDescent="0.2">
      <c r="D60" s="45"/>
      <c r="E60" s="35"/>
      <c r="F60" s="35"/>
    </row>
    <row r="61" spans="4:6" ht="15.75" customHeight="1" x14ac:dyDescent="0.2">
      <c r="D61" s="45"/>
      <c r="E61" s="35"/>
      <c r="F61" s="35"/>
    </row>
    <row r="62" spans="4:6" ht="15.75" customHeight="1" x14ac:dyDescent="0.2">
      <c r="D62" s="45"/>
      <c r="E62" s="35"/>
      <c r="F62" s="35"/>
    </row>
    <row r="63" spans="4:6" ht="15.75" customHeight="1" x14ac:dyDescent="0.2">
      <c r="D63" s="45"/>
      <c r="E63" s="35"/>
      <c r="F63" s="35"/>
    </row>
    <row r="64" spans="4:6" ht="15.75" customHeight="1" x14ac:dyDescent="0.2">
      <c r="D64" s="45"/>
      <c r="E64" s="35"/>
      <c r="F64" s="35"/>
    </row>
    <row r="65" spans="4:6" ht="15.75" customHeight="1" x14ac:dyDescent="0.2">
      <c r="D65" s="45"/>
      <c r="E65" s="35"/>
      <c r="F65" s="35"/>
    </row>
    <row r="66" spans="4:6" ht="15.75" customHeight="1" x14ac:dyDescent="0.2">
      <c r="D66" s="45"/>
      <c r="E66" s="35"/>
      <c r="F66" s="35"/>
    </row>
    <row r="67" spans="4:6" ht="15.75" customHeight="1" x14ac:dyDescent="0.2">
      <c r="D67" s="45"/>
      <c r="E67" s="35"/>
      <c r="F67" s="35"/>
    </row>
    <row r="68" spans="4:6" ht="15.75" customHeight="1" x14ac:dyDescent="0.2">
      <c r="D68" s="45"/>
      <c r="E68" s="35"/>
      <c r="F68" s="35"/>
    </row>
    <row r="69" spans="4:6" ht="15.75" customHeight="1" x14ac:dyDescent="0.2">
      <c r="D69" s="45"/>
      <c r="E69" s="35"/>
      <c r="F69" s="35"/>
    </row>
    <row r="70" spans="4:6" ht="15.75" customHeight="1" x14ac:dyDescent="0.2">
      <c r="D70" s="45"/>
      <c r="E70" s="35"/>
      <c r="F70" s="35"/>
    </row>
    <row r="71" spans="4:6" ht="15.75" customHeight="1" x14ac:dyDescent="0.2">
      <c r="D71" s="45"/>
      <c r="E71" s="35"/>
      <c r="F71" s="35"/>
    </row>
    <row r="72" spans="4:6" ht="15.75" customHeight="1" x14ac:dyDescent="0.2">
      <c r="D72" s="45"/>
      <c r="E72" s="35"/>
      <c r="F72" s="35"/>
    </row>
    <row r="73" spans="4:6" ht="15.75" customHeight="1" x14ac:dyDescent="0.2">
      <c r="D73" s="45"/>
      <c r="E73" s="35"/>
      <c r="F73" s="35"/>
    </row>
    <row r="74" spans="4:6" ht="15.75" customHeight="1" x14ac:dyDescent="0.2">
      <c r="D74" s="45"/>
      <c r="E74" s="35"/>
      <c r="F74" s="35"/>
    </row>
    <row r="75" spans="4:6" ht="15.75" customHeight="1" x14ac:dyDescent="0.2">
      <c r="D75" s="45"/>
      <c r="E75" s="35"/>
      <c r="F75" s="35"/>
    </row>
    <row r="76" spans="4:6" ht="15.75" customHeight="1" x14ac:dyDescent="0.2">
      <c r="D76" s="45"/>
      <c r="E76" s="35"/>
      <c r="F76" s="35"/>
    </row>
    <row r="77" spans="4:6" ht="15.75" customHeight="1" x14ac:dyDescent="0.2">
      <c r="D77" s="45"/>
      <c r="E77" s="35"/>
      <c r="F77" s="35"/>
    </row>
    <row r="78" spans="4:6" ht="15.75" customHeight="1" x14ac:dyDescent="0.2">
      <c r="D78" s="45"/>
      <c r="E78" s="35"/>
      <c r="F78" s="35"/>
    </row>
    <row r="79" spans="4:6" ht="15.75" customHeight="1" x14ac:dyDescent="0.2">
      <c r="D79" s="45"/>
      <c r="E79" s="35"/>
      <c r="F79" s="35"/>
    </row>
    <row r="80" spans="4:6" ht="15.75" customHeight="1" x14ac:dyDescent="0.2">
      <c r="D80" s="45"/>
      <c r="E80" s="35"/>
      <c r="F80" s="35"/>
    </row>
    <row r="81" spans="4:6" ht="15.75" customHeight="1" x14ac:dyDescent="0.2">
      <c r="D81" s="45"/>
      <c r="E81" s="35"/>
      <c r="F81" s="35"/>
    </row>
    <row r="82" spans="4:6" ht="15.75" customHeight="1" x14ac:dyDescent="0.2">
      <c r="D82" s="45"/>
      <c r="E82" s="35"/>
      <c r="F82" s="35"/>
    </row>
    <row r="83" spans="4:6" ht="15.75" customHeight="1" x14ac:dyDescent="0.2">
      <c r="D83" s="45"/>
      <c r="E83" s="35"/>
      <c r="F83" s="35"/>
    </row>
    <row r="84" spans="4:6" ht="15.75" customHeight="1" x14ac:dyDescent="0.2">
      <c r="D84" s="45"/>
      <c r="E84" s="35"/>
      <c r="F84" s="35"/>
    </row>
    <row r="85" spans="4:6" ht="15.75" customHeight="1" x14ac:dyDescent="0.2">
      <c r="D85" s="45"/>
      <c r="E85" s="35"/>
      <c r="F85" s="35"/>
    </row>
    <row r="86" spans="4:6" ht="15.75" customHeight="1" x14ac:dyDescent="0.2">
      <c r="D86" s="45"/>
      <c r="E86" s="35"/>
      <c r="F86" s="35"/>
    </row>
    <row r="87" spans="4:6" ht="15.75" customHeight="1" x14ac:dyDescent="0.2">
      <c r="D87" s="45"/>
      <c r="E87" s="35"/>
      <c r="F87" s="35"/>
    </row>
    <row r="88" spans="4:6" ht="15.75" customHeight="1" x14ac:dyDescent="0.2">
      <c r="D88" s="45"/>
      <c r="E88" s="35"/>
      <c r="F88" s="35"/>
    </row>
    <row r="89" spans="4:6" ht="15.75" customHeight="1" x14ac:dyDescent="0.2">
      <c r="D89" s="45"/>
      <c r="E89" s="35"/>
      <c r="F89" s="35"/>
    </row>
    <row r="90" spans="4:6" ht="15.75" customHeight="1" x14ac:dyDescent="0.2">
      <c r="D90" s="45"/>
      <c r="E90" s="35"/>
      <c r="F90" s="35"/>
    </row>
    <row r="91" spans="4:6" ht="15.75" customHeight="1" x14ac:dyDescent="0.2">
      <c r="D91" s="45"/>
      <c r="E91" s="35"/>
      <c r="F91" s="35"/>
    </row>
    <row r="92" spans="4:6" ht="15.75" customHeight="1" x14ac:dyDescent="0.2">
      <c r="D92" s="45"/>
      <c r="E92" s="35"/>
      <c r="F92" s="35"/>
    </row>
    <row r="93" spans="4:6" ht="15.75" customHeight="1" x14ac:dyDescent="0.2">
      <c r="D93" s="45"/>
      <c r="E93" s="35"/>
      <c r="F93" s="35"/>
    </row>
    <row r="94" spans="4:6" ht="15.75" customHeight="1" x14ac:dyDescent="0.2">
      <c r="D94" s="45"/>
      <c r="E94" s="35"/>
      <c r="F94" s="35"/>
    </row>
    <row r="95" spans="4:6" ht="15.75" customHeight="1" x14ac:dyDescent="0.2">
      <c r="D95" s="45"/>
      <c r="E95" s="35"/>
      <c r="F95" s="35"/>
    </row>
    <row r="96" spans="4:6" ht="15.75" customHeight="1" x14ac:dyDescent="0.2">
      <c r="D96" s="45"/>
      <c r="E96" s="35"/>
      <c r="F96" s="35"/>
    </row>
    <row r="97" spans="4:6" ht="15.75" customHeight="1" x14ac:dyDescent="0.2">
      <c r="D97" s="45"/>
      <c r="E97" s="35"/>
      <c r="F97" s="35"/>
    </row>
    <row r="98" spans="4:6" ht="15.75" customHeight="1" x14ac:dyDescent="0.2">
      <c r="D98" s="45"/>
      <c r="E98" s="35"/>
      <c r="F98" s="35"/>
    </row>
    <row r="99" spans="4:6" ht="15.75" customHeight="1" x14ac:dyDescent="0.2">
      <c r="D99" s="45"/>
      <c r="E99" s="35"/>
      <c r="F99" s="35"/>
    </row>
    <row r="100" spans="4:6" ht="15.75" customHeight="1" x14ac:dyDescent="0.2">
      <c r="D100" s="45"/>
      <c r="E100" s="35"/>
      <c r="F100" s="35"/>
    </row>
  </sheetData>
  <mergeCells count="13">
    <mergeCell ref="C5:F5"/>
    <mergeCell ref="H1:I1"/>
    <mergeCell ref="B1:B3"/>
    <mergeCell ref="C1:F1"/>
    <mergeCell ref="C2:F2"/>
    <mergeCell ref="C3:F3"/>
    <mergeCell ref="C41:E41"/>
    <mergeCell ref="C38:E38"/>
    <mergeCell ref="C39:E39"/>
    <mergeCell ref="C40:E40"/>
    <mergeCell ref="G14:G22"/>
    <mergeCell ref="G24:G30"/>
    <mergeCell ref="G32:G3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00"/>
  <sheetViews>
    <sheetView workbookViewId="0"/>
  </sheetViews>
  <sheetFormatPr defaultColWidth="14.390625" defaultRowHeight="15" customHeight="1" x14ac:dyDescent="0.2"/>
  <cols>
    <col min="1" max="1" width="25.2890625" customWidth="1"/>
    <col min="2" max="2" width="48.42578125" customWidth="1"/>
    <col min="3" max="3" width="23.80859375" customWidth="1"/>
    <col min="4" max="4" width="11.43359375" customWidth="1"/>
    <col min="5" max="5" width="12.5078125" customWidth="1"/>
    <col min="6" max="6" width="17.08203125" customWidth="1"/>
    <col min="7" max="20" width="10.76171875" hidden="1" customWidth="1"/>
  </cols>
  <sheetData>
    <row r="1" spans="1:20" ht="30.75" customHeight="1" x14ac:dyDescent="0.2">
      <c r="A1" s="169"/>
      <c r="B1" s="170" t="s">
        <v>0</v>
      </c>
      <c r="C1" s="171"/>
      <c r="D1" s="171"/>
      <c r="E1" s="171"/>
      <c r="F1" s="2" t="s">
        <v>1</v>
      </c>
    </row>
    <row r="2" spans="1:20" ht="30.75" customHeight="1" x14ac:dyDescent="0.2">
      <c r="A2" s="162"/>
      <c r="B2" s="170" t="s">
        <v>3</v>
      </c>
      <c r="C2" s="171"/>
      <c r="D2" s="171"/>
      <c r="E2" s="171"/>
      <c r="F2" s="2" t="s">
        <v>4</v>
      </c>
    </row>
    <row r="3" spans="1:20" ht="30.75" customHeight="1" x14ac:dyDescent="0.2">
      <c r="A3" s="163"/>
      <c r="B3" s="170" t="s">
        <v>70</v>
      </c>
      <c r="C3" s="171"/>
      <c r="D3" s="171"/>
      <c r="E3" s="171"/>
      <c r="F3" s="4">
        <v>46268</v>
      </c>
    </row>
    <row r="4" spans="1:20" x14ac:dyDescent="0.2">
      <c r="A4" s="5" t="s">
        <v>71</v>
      </c>
      <c r="B4" s="6"/>
      <c r="C4" s="7" t="s">
        <v>72</v>
      </c>
      <c r="D4" s="7" t="s">
        <v>9</v>
      </c>
      <c r="E4" s="7" t="s">
        <v>10</v>
      </c>
      <c r="F4" s="7" t="s">
        <v>11</v>
      </c>
    </row>
    <row r="5" spans="1:20" ht="15" customHeight="1" x14ac:dyDescent="0.2">
      <c r="A5" s="55" t="s">
        <v>73</v>
      </c>
      <c r="B5" s="56" t="s">
        <v>74</v>
      </c>
      <c r="C5" s="57"/>
      <c r="D5" s="58"/>
      <c r="E5" s="57"/>
      <c r="F5" s="173" t="s">
        <v>75</v>
      </c>
      <c r="G5" t="s">
        <v>76</v>
      </c>
    </row>
    <row r="6" spans="1:20" x14ac:dyDescent="0.2">
      <c r="A6" s="59" t="s">
        <v>14</v>
      </c>
      <c r="B6" s="10" t="s">
        <v>77</v>
      </c>
      <c r="C6" s="1"/>
      <c r="D6" s="60"/>
      <c r="E6" s="60"/>
      <c r="F6" s="162"/>
      <c r="G6">
        <v>2004</v>
      </c>
      <c r="H6">
        <v>2005</v>
      </c>
      <c r="I6">
        <v>2006</v>
      </c>
      <c r="J6">
        <v>2007</v>
      </c>
      <c r="K6">
        <v>2008</v>
      </c>
      <c r="L6">
        <v>2009</v>
      </c>
      <c r="M6">
        <v>2010</v>
      </c>
      <c r="N6">
        <v>2011</v>
      </c>
      <c r="O6">
        <v>2012</v>
      </c>
      <c r="P6">
        <v>2013</v>
      </c>
      <c r="Q6">
        <v>2014</v>
      </c>
      <c r="R6">
        <v>2015</v>
      </c>
      <c r="S6">
        <v>2016</v>
      </c>
      <c r="T6" t="s">
        <v>78</v>
      </c>
    </row>
    <row r="7" spans="1:20" x14ac:dyDescent="0.2">
      <c r="A7" s="61" t="s">
        <v>27</v>
      </c>
      <c r="B7" s="62" t="s">
        <v>79</v>
      </c>
      <c r="C7" s="16" t="s">
        <v>80</v>
      </c>
      <c r="D7" s="63">
        <f t="shared" ref="D7:D14" si="0">E7/686.8333</f>
        <v>5.9996983609634231</v>
      </c>
      <c r="E7" s="16">
        <v>4120.7926242650992</v>
      </c>
      <c r="F7" s="162"/>
    </row>
    <row r="8" spans="1:20" x14ac:dyDescent="0.2">
      <c r="A8" s="61" t="s">
        <v>27</v>
      </c>
      <c r="B8" s="62" t="s">
        <v>81</v>
      </c>
      <c r="C8" s="16" t="s">
        <v>80</v>
      </c>
      <c r="D8" s="63">
        <f t="shared" si="0"/>
        <v>4.1494784833525102</v>
      </c>
      <c r="E8" s="16">
        <v>2850</v>
      </c>
      <c r="F8" s="162"/>
    </row>
    <row r="9" spans="1:20" x14ac:dyDescent="0.2">
      <c r="A9" s="61" t="s">
        <v>27</v>
      </c>
      <c r="B9" s="62" t="s">
        <v>82</v>
      </c>
      <c r="C9" s="16" t="s">
        <v>80</v>
      </c>
      <c r="D9" s="63">
        <f t="shared" si="0"/>
        <v>4.4756129325703924</v>
      </c>
      <c r="E9" s="16">
        <v>3074</v>
      </c>
      <c r="F9" s="162"/>
    </row>
    <row r="10" spans="1:20" x14ac:dyDescent="0.2">
      <c r="A10" s="61" t="s">
        <v>27</v>
      </c>
      <c r="B10" s="62" t="s">
        <v>83</v>
      </c>
      <c r="C10" s="16" t="s">
        <v>80</v>
      </c>
      <c r="D10" s="63">
        <f t="shared" si="0"/>
        <v>6.9996480877906597</v>
      </c>
      <c r="E10" s="16">
        <v>4807.5913949759488</v>
      </c>
      <c r="F10" s="162"/>
    </row>
    <row r="11" spans="1:20" x14ac:dyDescent="0.2">
      <c r="A11" s="61" t="s">
        <v>27</v>
      </c>
      <c r="B11" s="62" t="s">
        <v>84</v>
      </c>
      <c r="C11" s="16" t="s">
        <v>80</v>
      </c>
      <c r="D11" s="63">
        <f t="shared" si="0"/>
        <v>6.1150209228352788</v>
      </c>
      <c r="E11" s="16">
        <v>4200</v>
      </c>
      <c r="F11" s="162"/>
    </row>
    <row r="12" spans="1:20" x14ac:dyDescent="0.2">
      <c r="A12" s="61" t="s">
        <v>27</v>
      </c>
      <c r="B12" s="62" t="s">
        <v>85</v>
      </c>
      <c r="C12" s="16" t="s">
        <v>80</v>
      </c>
      <c r="D12" s="16">
        <f t="shared" si="0"/>
        <v>5.1176901294680963</v>
      </c>
      <c r="E12" s="16">
        <v>3515</v>
      </c>
      <c r="F12" s="162"/>
    </row>
    <row r="13" spans="1:20" x14ac:dyDescent="0.2">
      <c r="A13" s="61" t="s">
        <v>27</v>
      </c>
      <c r="B13" s="62" t="s">
        <v>86</v>
      </c>
      <c r="C13" s="16" t="s">
        <v>80</v>
      </c>
      <c r="D13" s="16">
        <f t="shared" si="0"/>
        <v>3.5670955383205794</v>
      </c>
      <c r="E13" s="16">
        <v>2450</v>
      </c>
      <c r="F13" s="162"/>
    </row>
    <row r="14" spans="1:20" x14ac:dyDescent="0.2">
      <c r="A14" s="61" t="s">
        <v>27</v>
      </c>
      <c r="B14" s="62" t="s">
        <v>87</v>
      </c>
      <c r="C14" s="16" t="s">
        <v>80</v>
      </c>
      <c r="D14" s="63">
        <f t="shared" si="0"/>
        <v>6.7702017359962019</v>
      </c>
      <c r="E14" s="63">
        <v>4650</v>
      </c>
      <c r="F14" s="162"/>
    </row>
    <row r="15" spans="1:20" x14ac:dyDescent="0.2">
      <c r="A15" s="61" t="s">
        <v>27</v>
      </c>
      <c r="B15" s="62" t="s">
        <v>88</v>
      </c>
      <c r="C15" s="16" t="s">
        <v>80</v>
      </c>
      <c r="D15" s="63">
        <f t="shared" ref="D15:D18" si="1">E15/686.83333</f>
        <v>6.653724856363624</v>
      </c>
      <c r="E15" s="63">
        <v>4570</v>
      </c>
      <c r="F15" s="162"/>
    </row>
    <row r="16" spans="1:20" x14ac:dyDescent="0.2">
      <c r="A16" s="61" t="s">
        <v>27</v>
      </c>
      <c r="B16" s="62" t="s">
        <v>89</v>
      </c>
      <c r="C16" s="16" t="s">
        <v>80</v>
      </c>
      <c r="D16" s="64">
        <f t="shared" si="1"/>
        <v>5.8616840857155257</v>
      </c>
      <c r="E16" s="63">
        <v>4026</v>
      </c>
      <c r="F16" s="162"/>
    </row>
    <row r="17" spans="1:6" x14ac:dyDescent="0.2">
      <c r="A17" s="61" t="s">
        <v>27</v>
      </c>
      <c r="B17" s="62" t="s">
        <v>90</v>
      </c>
      <c r="C17" s="16" t="s">
        <v>80</v>
      </c>
      <c r="D17" s="64">
        <f t="shared" si="1"/>
        <v>9.2904635248263201</v>
      </c>
      <c r="E17" s="63">
        <v>6381</v>
      </c>
      <c r="F17" s="162"/>
    </row>
    <row r="18" spans="1:6" x14ac:dyDescent="0.2">
      <c r="A18" s="61" t="s">
        <v>27</v>
      </c>
      <c r="B18" s="62" t="s">
        <v>91</v>
      </c>
      <c r="C18" s="16" t="s">
        <v>80</v>
      </c>
      <c r="D18" s="65">
        <f t="shared" si="1"/>
        <v>3.1157486198289179</v>
      </c>
      <c r="E18" s="16">
        <v>2140</v>
      </c>
      <c r="F18" s="162"/>
    </row>
    <row r="19" spans="1:6" x14ac:dyDescent="0.2">
      <c r="A19" s="61" t="s">
        <v>27</v>
      </c>
      <c r="B19" s="62" t="s">
        <v>92</v>
      </c>
      <c r="C19" s="16" t="s">
        <v>80</v>
      </c>
      <c r="D19" s="65">
        <f t="shared" ref="D19:D21" si="2">E19/686.8333</f>
        <v>2.562484958140498</v>
      </c>
      <c r="E19" s="16">
        <v>1760</v>
      </c>
      <c r="F19" s="162"/>
    </row>
    <row r="20" spans="1:6" x14ac:dyDescent="0.2">
      <c r="A20" s="61" t="s">
        <v>27</v>
      </c>
      <c r="B20" s="62" t="s">
        <v>93</v>
      </c>
      <c r="C20" s="16" t="s">
        <v>80</v>
      </c>
      <c r="D20" s="65">
        <f t="shared" si="2"/>
        <v>3.537976391068983</v>
      </c>
      <c r="E20" s="16">
        <v>2430</v>
      </c>
      <c r="F20" s="162"/>
    </row>
    <row r="21" spans="1:6" ht="15.75" customHeight="1" x14ac:dyDescent="0.2">
      <c r="A21" s="61" t="s">
        <v>27</v>
      </c>
      <c r="B21" s="62" t="s">
        <v>94</v>
      </c>
      <c r="C21" s="16" t="s">
        <v>80</v>
      </c>
      <c r="D21" s="65">
        <f t="shared" si="2"/>
        <v>5.2414465052873815</v>
      </c>
      <c r="E21" s="16">
        <v>3600</v>
      </c>
      <c r="F21" s="162"/>
    </row>
    <row r="22" spans="1:6" ht="15.75" customHeight="1" x14ac:dyDescent="0.2">
      <c r="A22" s="61" t="s">
        <v>27</v>
      </c>
      <c r="B22" s="62" t="s">
        <v>95</v>
      </c>
      <c r="C22" s="16" t="s">
        <v>80</v>
      </c>
      <c r="D22" s="65">
        <v>2</v>
      </c>
      <c r="E22" s="16">
        <v>1474</v>
      </c>
      <c r="F22" s="162"/>
    </row>
    <row r="23" spans="1:6" ht="15.75" customHeight="1" x14ac:dyDescent="0.2">
      <c r="A23" s="61" t="s">
        <v>27</v>
      </c>
      <c r="B23" s="62" t="s">
        <v>96</v>
      </c>
      <c r="C23" s="16" t="s">
        <v>80</v>
      </c>
      <c r="D23" s="65">
        <v>2</v>
      </c>
      <c r="E23" s="16">
        <v>1474</v>
      </c>
      <c r="F23" s="162"/>
    </row>
    <row r="24" spans="1:6" ht="15" customHeight="1" x14ac:dyDescent="0.2">
      <c r="A24" s="61" t="s">
        <v>27</v>
      </c>
      <c r="B24" s="66" t="s">
        <v>97</v>
      </c>
      <c r="C24" s="16" t="s">
        <v>80</v>
      </c>
      <c r="D24" s="21">
        <v>2</v>
      </c>
      <c r="E24" s="21">
        <v>1474</v>
      </c>
      <c r="F24" s="163"/>
    </row>
    <row r="25" spans="1:6" ht="15" customHeight="1" x14ac:dyDescent="0.2">
      <c r="A25" s="67" t="s">
        <v>27</v>
      </c>
      <c r="B25" s="68" t="s">
        <v>98</v>
      </c>
      <c r="C25" s="30" t="s">
        <v>99</v>
      </c>
      <c r="D25" s="30">
        <v>20</v>
      </c>
      <c r="E25" s="69">
        <v>8113.8775510204041</v>
      </c>
      <c r="F25" s="175" t="s">
        <v>75</v>
      </c>
    </row>
    <row r="26" spans="1:6" ht="15" customHeight="1" x14ac:dyDescent="0.2">
      <c r="A26" s="70" t="s">
        <v>27</v>
      </c>
      <c r="B26" s="15" t="s">
        <v>100</v>
      </c>
      <c r="C26" s="16" t="s">
        <v>99</v>
      </c>
      <c r="D26" s="16">
        <v>9</v>
      </c>
      <c r="E26" s="71">
        <v>3651.2448979591818</v>
      </c>
      <c r="F26" s="163"/>
    </row>
    <row r="27" spans="1:6" ht="15" customHeight="1" x14ac:dyDescent="0.2">
      <c r="A27" s="72"/>
      <c r="B27" s="10" t="s">
        <v>101</v>
      </c>
      <c r="C27" s="73"/>
      <c r="D27" s="30"/>
      <c r="E27" s="74"/>
      <c r="F27" s="174" t="s">
        <v>102</v>
      </c>
    </row>
    <row r="28" spans="1:6" ht="15" customHeight="1" x14ac:dyDescent="0.2">
      <c r="A28" s="75" t="s">
        <v>27</v>
      </c>
      <c r="B28" s="29" t="s">
        <v>103</v>
      </c>
      <c r="C28" s="76" t="s">
        <v>19</v>
      </c>
      <c r="D28" s="16">
        <v>5</v>
      </c>
      <c r="E28" s="18">
        <v>5624</v>
      </c>
      <c r="F28" s="162"/>
    </row>
    <row r="29" spans="1:6" ht="15" customHeight="1" x14ac:dyDescent="0.2">
      <c r="A29" s="75" t="s">
        <v>27</v>
      </c>
      <c r="B29" s="77" t="s">
        <v>104</v>
      </c>
      <c r="C29" s="76" t="s">
        <v>19</v>
      </c>
      <c r="D29" s="16">
        <v>4</v>
      </c>
      <c r="E29" s="18">
        <v>4499.1950828433992</v>
      </c>
      <c r="F29" s="165"/>
    </row>
    <row r="30" spans="1:6" ht="15" customHeight="1" x14ac:dyDescent="0.2">
      <c r="A30" s="59" t="s">
        <v>14</v>
      </c>
      <c r="B30" s="78" t="s">
        <v>105</v>
      </c>
      <c r="C30" s="79"/>
      <c r="D30" s="30"/>
      <c r="E30" s="69"/>
      <c r="F30" s="173" t="s">
        <v>106</v>
      </c>
    </row>
    <row r="31" spans="1:6" ht="15" customHeight="1" x14ac:dyDescent="0.2">
      <c r="A31" s="75" t="s">
        <v>27</v>
      </c>
      <c r="B31" s="80" t="s">
        <v>107</v>
      </c>
      <c r="C31" s="76" t="s">
        <v>19</v>
      </c>
      <c r="D31" s="16">
        <v>8</v>
      </c>
      <c r="E31" s="71">
        <v>6078.3901656867993</v>
      </c>
      <c r="F31" s="162"/>
    </row>
    <row r="32" spans="1:6" ht="15" customHeight="1" x14ac:dyDescent="0.2">
      <c r="A32" s="75" t="s">
        <v>27</v>
      </c>
      <c r="B32" s="80" t="s">
        <v>108</v>
      </c>
      <c r="C32" s="76" t="s">
        <v>19</v>
      </c>
      <c r="D32" s="16">
        <v>4</v>
      </c>
      <c r="E32" s="71">
        <v>3216</v>
      </c>
      <c r="F32" s="162"/>
    </row>
    <row r="33" spans="1:6" ht="15" customHeight="1" x14ac:dyDescent="0.2">
      <c r="A33" s="75" t="s">
        <v>27</v>
      </c>
      <c r="B33" s="80" t="s">
        <v>109</v>
      </c>
      <c r="C33" s="76" t="s">
        <v>19</v>
      </c>
      <c r="D33" s="16">
        <v>6</v>
      </c>
      <c r="E33" s="71">
        <v>4558.7926242650992</v>
      </c>
      <c r="F33" s="162"/>
    </row>
    <row r="34" spans="1:6" ht="15" customHeight="1" x14ac:dyDescent="0.2">
      <c r="A34" s="75" t="s">
        <v>27</v>
      </c>
      <c r="B34" s="80" t="s">
        <v>110</v>
      </c>
      <c r="C34" s="81" t="s">
        <v>19</v>
      </c>
      <c r="D34" s="21">
        <v>5</v>
      </c>
      <c r="E34" s="82">
        <v>4394</v>
      </c>
      <c r="F34" s="165"/>
    </row>
    <row r="35" spans="1:6" ht="15" customHeight="1" x14ac:dyDescent="0.2">
      <c r="A35" s="59" t="s">
        <v>14</v>
      </c>
      <c r="B35" s="83" t="s">
        <v>111</v>
      </c>
      <c r="C35" s="84"/>
      <c r="D35" s="30"/>
      <c r="E35" s="69"/>
      <c r="F35" s="174" t="s">
        <v>112</v>
      </c>
    </row>
    <row r="36" spans="1:6" ht="15" customHeight="1" x14ac:dyDescent="0.2">
      <c r="A36" s="75" t="s">
        <v>52</v>
      </c>
      <c r="B36" s="85" t="s">
        <v>113</v>
      </c>
      <c r="C36" s="76" t="s">
        <v>19</v>
      </c>
      <c r="D36" s="16">
        <v>6</v>
      </c>
      <c r="E36" s="71">
        <v>5624</v>
      </c>
      <c r="F36" s="162"/>
    </row>
    <row r="37" spans="1:6" ht="15" customHeight="1" x14ac:dyDescent="0.2">
      <c r="A37" s="75" t="s">
        <v>52</v>
      </c>
      <c r="B37" s="85" t="s">
        <v>114</v>
      </c>
      <c r="C37" s="76" t="s">
        <v>19</v>
      </c>
      <c r="D37" s="16">
        <v>5</v>
      </c>
      <c r="E37" s="71">
        <v>4200</v>
      </c>
      <c r="F37" s="162"/>
    </row>
    <row r="38" spans="1:6" ht="15" customHeight="1" x14ac:dyDescent="0.2">
      <c r="A38" s="75" t="s">
        <v>52</v>
      </c>
      <c r="B38" s="86" t="s">
        <v>115</v>
      </c>
      <c r="C38" s="81" t="s">
        <v>19</v>
      </c>
      <c r="D38" s="21">
        <v>3</v>
      </c>
      <c r="E38" s="82">
        <v>2140</v>
      </c>
      <c r="F38" s="163"/>
    </row>
    <row r="39" spans="1:6" ht="15.75" customHeight="1" x14ac:dyDescent="0.2">
      <c r="A39" s="59" t="s">
        <v>14</v>
      </c>
      <c r="B39" s="10" t="s">
        <v>116</v>
      </c>
      <c r="C39" s="84"/>
      <c r="D39" s="30"/>
      <c r="E39" s="87"/>
      <c r="F39" s="173" t="s">
        <v>117</v>
      </c>
    </row>
    <row r="40" spans="1:6" ht="15.75" customHeight="1" x14ac:dyDescent="0.2">
      <c r="A40" s="176" t="s">
        <v>118</v>
      </c>
      <c r="B40" s="29" t="s">
        <v>119</v>
      </c>
      <c r="C40" s="76" t="s">
        <v>19</v>
      </c>
      <c r="D40" s="16">
        <v>6</v>
      </c>
      <c r="E40" s="71">
        <v>7624.7926242651001</v>
      </c>
      <c r="F40" s="162"/>
    </row>
    <row r="41" spans="1:6" ht="15.75" customHeight="1" x14ac:dyDescent="0.2">
      <c r="A41" s="162"/>
      <c r="B41" s="29" t="s">
        <v>120</v>
      </c>
      <c r="C41" s="76" t="s">
        <v>19</v>
      </c>
      <c r="D41" s="16">
        <v>2</v>
      </c>
      <c r="E41" s="71">
        <v>2825</v>
      </c>
      <c r="F41" s="162"/>
    </row>
    <row r="42" spans="1:6" ht="15.75" customHeight="1" x14ac:dyDescent="0.2">
      <c r="A42" s="162"/>
      <c r="B42" s="62" t="s">
        <v>121</v>
      </c>
      <c r="C42" s="76" t="s">
        <v>19</v>
      </c>
      <c r="D42" s="16">
        <v>4</v>
      </c>
      <c r="E42" s="71">
        <v>3625</v>
      </c>
      <c r="F42" s="162"/>
    </row>
    <row r="43" spans="1:6" ht="15.75" customHeight="1" x14ac:dyDescent="0.2">
      <c r="A43" s="162"/>
      <c r="B43" s="29" t="s">
        <v>122</v>
      </c>
      <c r="C43" s="76" t="s">
        <v>19</v>
      </c>
      <c r="D43" s="16">
        <v>7</v>
      </c>
      <c r="E43" s="71">
        <v>8895.5913949759488</v>
      </c>
      <c r="F43" s="162"/>
    </row>
    <row r="44" spans="1:6" ht="15.75" customHeight="1" x14ac:dyDescent="0.2">
      <c r="A44" s="162"/>
      <c r="B44" s="29" t="s">
        <v>123</v>
      </c>
      <c r="C44" s="76" t="s">
        <v>19</v>
      </c>
      <c r="D44" s="21">
        <v>8</v>
      </c>
      <c r="E44" s="71">
        <v>10166.390165686798</v>
      </c>
      <c r="F44" s="165"/>
    </row>
    <row r="45" spans="1:6" ht="15.75" customHeight="1" x14ac:dyDescent="0.2">
      <c r="A45" s="77"/>
      <c r="B45" s="40" t="s">
        <v>58</v>
      </c>
      <c r="C45" s="41"/>
      <c r="D45" s="44"/>
      <c r="E45" s="43">
        <f>+SUM(E5:E44)</f>
        <v>144232.65852594381</v>
      </c>
      <c r="F45" s="44"/>
    </row>
    <row r="46" spans="1:6" ht="15.75" customHeight="1" x14ac:dyDescent="0.2"/>
    <row r="47" spans="1:6" ht="15.75" customHeight="1" x14ac:dyDescent="0.2">
      <c r="B47" s="2" t="s">
        <v>59</v>
      </c>
      <c r="C47" s="154" t="s">
        <v>60</v>
      </c>
      <c r="D47" s="155"/>
      <c r="E47" s="156"/>
      <c r="F47" s="46" t="s">
        <v>61</v>
      </c>
    </row>
    <row r="48" spans="1:6" ht="21" customHeight="1" x14ac:dyDescent="0.2">
      <c r="A48" s="47" t="s">
        <v>62</v>
      </c>
      <c r="B48" s="48" t="s">
        <v>63</v>
      </c>
      <c r="C48" s="157" t="s">
        <v>64</v>
      </c>
      <c r="D48" s="158"/>
      <c r="E48" s="159"/>
      <c r="F48" s="50">
        <v>45658</v>
      </c>
    </row>
    <row r="49" spans="1:6" ht="21" customHeight="1" x14ac:dyDescent="0.2">
      <c r="A49" s="47" t="s">
        <v>62</v>
      </c>
      <c r="B49" s="48" t="s">
        <v>65</v>
      </c>
      <c r="C49" s="160" t="s">
        <v>66</v>
      </c>
      <c r="D49" s="158"/>
      <c r="E49" s="159"/>
      <c r="F49" s="50">
        <v>45658</v>
      </c>
    </row>
    <row r="50" spans="1:6" ht="21" customHeight="1" x14ac:dyDescent="0.2">
      <c r="A50" s="52" t="s">
        <v>67</v>
      </c>
      <c r="B50" s="53" t="s">
        <v>68</v>
      </c>
      <c r="C50" s="151" t="s">
        <v>69</v>
      </c>
      <c r="D50" s="152"/>
      <c r="E50" s="153"/>
      <c r="F50" s="88">
        <v>45658</v>
      </c>
    </row>
    <row r="51" spans="1:6" ht="15.75" customHeight="1" x14ac:dyDescent="0.2">
      <c r="D51" s="45"/>
      <c r="E51" s="35"/>
      <c r="F51" s="35"/>
    </row>
    <row r="52" spans="1:6" ht="15.75" customHeight="1" x14ac:dyDescent="0.2"/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5">
    <mergeCell ref="A1:A3"/>
    <mergeCell ref="B1:E1"/>
    <mergeCell ref="B2:E2"/>
    <mergeCell ref="B3:E3"/>
    <mergeCell ref="C47:E47"/>
    <mergeCell ref="A40:A44"/>
    <mergeCell ref="C49:E49"/>
    <mergeCell ref="C50:E50"/>
    <mergeCell ref="F5:F24"/>
    <mergeCell ref="F39:F44"/>
    <mergeCell ref="F27:F29"/>
    <mergeCell ref="F30:F34"/>
    <mergeCell ref="F35:F38"/>
    <mergeCell ref="F25:F26"/>
    <mergeCell ref="C48:E48"/>
  </mergeCells>
  <pageMargins left="0.25" right="0.25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00"/>
  <sheetViews>
    <sheetView workbookViewId="0"/>
  </sheetViews>
  <sheetFormatPr defaultColWidth="14.390625" defaultRowHeight="15" customHeight="1" x14ac:dyDescent="0.2"/>
  <cols>
    <col min="1" max="1" width="26.23046875" customWidth="1"/>
    <col min="2" max="2" width="43.44921875" customWidth="1"/>
    <col min="3" max="3" width="10.76171875" customWidth="1"/>
    <col min="4" max="5" width="11.43359375" customWidth="1"/>
    <col min="6" max="6" width="16.8125" customWidth="1"/>
    <col min="7" max="11" width="10.76171875" customWidth="1"/>
  </cols>
  <sheetData>
    <row r="1" spans="1:7" ht="30.75" customHeight="1" x14ac:dyDescent="0.2">
      <c r="A1" s="169"/>
      <c r="B1" s="170" t="s">
        <v>0</v>
      </c>
      <c r="C1" s="171"/>
      <c r="D1" s="171"/>
      <c r="E1" s="171"/>
      <c r="F1" s="2" t="s">
        <v>1</v>
      </c>
    </row>
    <row r="2" spans="1:7" ht="30.75" customHeight="1" x14ac:dyDescent="0.2">
      <c r="A2" s="162"/>
      <c r="B2" s="170" t="s">
        <v>3</v>
      </c>
      <c r="C2" s="171"/>
      <c r="D2" s="171"/>
      <c r="E2" s="171"/>
      <c r="F2" s="2" t="s">
        <v>4</v>
      </c>
    </row>
    <row r="3" spans="1:7" ht="30.75" customHeight="1" x14ac:dyDescent="0.2">
      <c r="A3" s="163"/>
      <c r="B3" s="170" t="s">
        <v>70</v>
      </c>
      <c r="C3" s="171"/>
      <c r="D3" s="171"/>
      <c r="E3" s="171"/>
      <c r="F3" s="4">
        <v>46268</v>
      </c>
    </row>
    <row r="4" spans="1:7" x14ac:dyDescent="0.2">
      <c r="A4" s="5" t="s">
        <v>124</v>
      </c>
      <c r="B4" s="6"/>
      <c r="C4" s="7" t="s">
        <v>72</v>
      </c>
      <c r="D4" s="7" t="s">
        <v>9</v>
      </c>
      <c r="E4" s="7" t="s">
        <v>10</v>
      </c>
      <c r="F4" s="7" t="s">
        <v>11</v>
      </c>
      <c r="G4" s="89"/>
    </row>
    <row r="5" spans="1:7" ht="15" customHeight="1" x14ac:dyDescent="0.2">
      <c r="A5" s="55" t="s">
        <v>125</v>
      </c>
      <c r="B5" s="177" t="s">
        <v>126</v>
      </c>
      <c r="C5" s="171"/>
      <c r="D5" s="171"/>
      <c r="E5" s="171"/>
      <c r="F5" s="90"/>
    </row>
    <row r="6" spans="1:7" x14ac:dyDescent="0.2">
      <c r="A6" s="91" t="s">
        <v>127</v>
      </c>
      <c r="B6" s="177" t="s">
        <v>128</v>
      </c>
      <c r="C6" s="171"/>
      <c r="D6" s="171"/>
      <c r="E6" s="171"/>
      <c r="F6" s="92" t="s">
        <v>129</v>
      </c>
    </row>
    <row r="7" spans="1:7" x14ac:dyDescent="0.2">
      <c r="A7" s="93" t="s">
        <v>130</v>
      </c>
      <c r="B7" s="94" t="s">
        <v>131</v>
      </c>
      <c r="C7" s="18" t="s">
        <v>132</v>
      </c>
      <c r="D7" s="18">
        <v>18</v>
      </c>
      <c r="E7" s="18">
        <v>11340</v>
      </c>
      <c r="F7" s="92" t="s">
        <v>75</v>
      </c>
    </row>
    <row r="8" spans="1:7" x14ac:dyDescent="0.2">
      <c r="A8" s="93" t="s">
        <v>130</v>
      </c>
      <c r="B8" s="95" t="s">
        <v>133</v>
      </c>
      <c r="C8" s="18" t="s">
        <v>132</v>
      </c>
      <c r="D8" s="18">
        <v>11</v>
      </c>
      <c r="E8" s="18">
        <v>6930</v>
      </c>
      <c r="F8" s="92" t="s">
        <v>75</v>
      </c>
    </row>
    <row r="9" spans="1:7" x14ac:dyDescent="0.2">
      <c r="A9" s="93" t="s">
        <v>130</v>
      </c>
      <c r="B9" s="96" t="s">
        <v>134</v>
      </c>
      <c r="C9" s="18" t="s">
        <v>132</v>
      </c>
      <c r="D9" s="18">
        <v>10</v>
      </c>
      <c r="E9" s="18">
        <v>6300</v>
      </c>
      <c r="F9" s="92" t="s">
        <v>75</v>
      </c>
    </row>
    <row r="10" spans="1:7" x14ac:dyDescent="0.2">
      <c r="A10" s="93" t="s">
        <v>130</v>
      </c>
      <c r="B10" s="95" t="s">
        <v>135</v>
      </c>
      <c r="C10" s="18" t="s">
        <v>132</v>
      </c>
      <c r="D10" s="18">
        <v>8</v>
      </c>
      <c r="E10" s="18">
        <v>5040</v>
      </c>
      <c r="F10" s="92" t="s">
        <v>75</v>
      </c>
    </row>
    <row r="11" spans="1:7" x14ac:dyDescent="0.2">
      <c r="A11" s="93" t="s">
        <v>130</v>
      </c>
      <c r="B11" s="96" t="s">
        <v>136</v>
      </c>
      <c r="C11" s="18" t="s">
        <v>132</v>
      </c>
      <c r="D11" s="18">
        <v>8</v>
      </c>
      <c r="E11" s="18">
        <v>5040</v>
      </c>
      <c r="F11" s="92" t="s">
        <v>75</v>
      </c>
    </row>
    <row r="12" spans="1:7" x14ac:dyDescent="0.2">
      <c r="A12" s="93" t="s">
        <v>130</v>
      </c>
      <c r="B12" s="95" t="s">
        <v>137</v>
      </c>
      <c r="C12" s="18" t="s">
        <v>132</v>
      </c>
      <c r="D12" s="18">
        <v>8</v>
      </c>
      <c r="E12" s="18">
        <v>5040</v>
      </c>
      <c r="F12" s="92" t="s">
        <v>138</v>
      </c>
    </row>
    <row r="13" spans="1:7" x14ac:dyDescent="0.2">
      <c r="A13" s="93" t="s">
        <v>130</v>
      </c>
      <c r="B13" s="96" t="s">
        <v>139</v>
      </c>
      <c r="C13" s="18" t="s">
        <v>132</v>
      </c>
      <c r="D13" s="18">
        <v>8</v>
      </c>
      <c r="E13" s="18">
        <v>5040</v>
      </c>
      <c r="F13" s="92" t="s">
        <v>140</v>
      </c>
    </row>
    <row r="14" spans="1:7" x14ac:dyDescent="0.2">
      <c r="A14" s="93" t="s">
        <v>130</v>
      </c>
      <c r="B14" s="95" t="s">
        <v>141</v>
      </c>
      <c r="C14" s="18" t="s">
        <v>132</v>
      </c>
      <c r="D14" s="18">
        <v>8</v>
      </c>
      <c r="E14" s="18">
        <v>5040</v>
      </c>
      <c r="F14" s="92" t="s">
        <v>142</v>
      </c>
    </row>
    <row r="15" spans="1:7" x14ac:dyDescent="0.2">
      <c r="A15" s="93" t="s">
        <v>130</v>
      </c>
      <c r="B15" s="96" t="s">
        <v>143</v>
      </c>
      <c r="C15" s="18" t="s">
        <v>132</v>
      </c>
      <c r="D15" s="18">
        <v>7</v>
      </c>
      <c r="E15" s="18">
        <v>4410</v>
      </c>
      <c r="F15" s="92" t="s">
        <v>144</v>
      </c>
    </row>
    <row r="16" spans="1:7" x14ac:dyDescent="0.2">
      <c r="A16" s="93" t="s">
        <v>130</v>
      </c>
      <c r="B16" s="95" t="s">
        <v>145</v>
      </c>
      <c r="C16" s="18" t="s">
        <v>132</v>
      </c>
      <c r="D16" s="18">
        <v>6</v>
      </c>
      <c r="E16" s="18">
        <v>3780</v>
      </c>
      <c r="F16" s="92" t="s">
        <v>146</v>
      </c>
      <c r="G16" s="97"/>
    </row>
    <row r="17" spans="1:6" x14ac:dyDescent="0.2">
      <c r="A17" s="93" t="s">
        <v>130</v>
      </c>
      <c r="B17" s="96" t="s">
        <v>147</v>
      </c>
      <c r="C17" s="18" t="s">
        <v>132</v>
      </c>
      <c r="D17" s="18">
        <v>6</v>
      </c>
      <c r="E17" s="18">
        <v>3780</v>
      </c>
      <c r="F17" s="92" t="s">
        <v>75</v>
      </c>
    </row>
    <row r="18" spans="1:6" x14ac:dyDescent="0.2">
      <c r="A18" s="93" t="s">
        <v>130</v>
      </c>
      <c r="B18" s="95" t="s">
        <v>148</v>
      </c>
      <c r="C18" s="18" t="s">
        <v>132</v>
      </c>
      <c r="D18" s="18">
        <v>6</v>
      </c>
      <c r="E18" s="18">
        <v>3780</v>
      </c>
      <c r="F18" s="92" t="s">
        <v>149</v>
      </c>
    </row>
    <row r="19" spans="1:6" x14ac:dyDescent="0.2">
      <c r="A19" s="93" t="s">
        <v>130</v>
      </c>
      <c r="B19" s="96" t="s">
        <v>150</v>
      </c>
      <c r="C19" s="18" t="s">
        <v>132</v>
      </c>
      <c r="D19" s="18">
        <v>5</v>
      </c>
      <c r="E19" s="18">
        <v>3150</v>
      </c>
      <c r="F19" s="92" t="s">
        <v>151</v>
      </c>
    </row>
    <row r="20" spans="1:6" x14ac:dyDescent="0.2">
      <c r="A20" s="93" t="s">
        <v>130</v>
      </c>
      <c r="B20" s="95" t="s">
        <v>152</v>
      </c>
      <c r="C20" s="18" t="s">
        <v>132</v>
      </c>
      <c r="D20" s="18">
        <v>5</v>
      </c>
      <c r="E20" s="18">
        <v>3150</v>
      </c>
      <c r="F20" s="92" t="s">
        <v>75</v>
      </c>
    </row>
    <row r="21" spans="1:6" ht="15.75" customHeight="1" x14ac:dyDescent="0.2">
      <c r="A21" s="93" t="s">
        <v>130</v>
      </c>
      <c r="B21" s="96" t="s">
        <v>153</v>
      </c>
      <c r="C21" s="18" t="s">
        <v>132</v>
      </c>
      <c r="D21" s="18">
        <v>5</v>
      </c>
      <c r="E21" s="18">
        <v>3150</v>
      </c>
      <c r="F21" s="92" t="s">
        <v>75</v>
      </c>
    </row>
    <row r="22" spans="1:6" ht="15.75" customHeight="1" x14ac:dyDescent="0.2">
      <c r="A22" s="93" t="s">
        <v>130</v>
      </c>
      <c r="B22" s="95" t="s">
        <v>154</v>
      </c>
      <c r="C22" s="18" t="s">
        <v>132</v>
      </c>
      <c r="D22" s="18">
        <v>5</v>
      </c>
      <c r="E22" s="18">
        <v>3150</v>
      </c>
      <c r="F22" s="92" t="s">
        <v>75</v>
      </c>
    </row>
    <row r="23" spans="1:6" ht="15.75" customHeight="1" x14ac:dyDescent="0.2">
      <c r="A23" s="93" t="s">
        <v>130</v>
      </c>
      <c r="B23" s="96" t="s">
        <v>155</v>
      </c>
      <c r="C23" s="18" t="s">
        <v>132</v>
      </c>
      <c r="D23" s="18">
        <v>5</v>
      </c>
      <c r="E23" s="18">
        <v>3150</v>
      </c>
      <c r="F23" s="92" t="s">
        <v>26</v>
      </c>
    </row>
    <row r="24" spans="1:6" ht="15.75" customHeight="1" x14ac:dyDescent="0.2">
      <c r="A24" s="93" t="s">
        <v>130</v>
      </c>
      <c r="B24" s="95" t="s">
        <v>156</v>
      </c>
      <c r="C24" s="18" t="s">
        <v>132</v>
      </c>
      <c r="D24" s="18">
        <v>5</v>
      </c>
      <c r="E24" s="18">
        <v>3150</v>
      </c>
      <c r="F24" s="92" t="s">
        <v>105</v>
      </c>
    </row>
    <row r="25" spans="1:6" ht="15.75" customHeight="1" x14ac:dyDescent="0.2">
      <c r="A25" s="93" t="s">
        <v>130</v>
      </c>
      <c r="B25" s="96" t="s">
        <v>157</v>
      </c>
      <c r="C25" s="18" t="s">
        <v>132</v>
      </c>
      <c r="D25" s="18">
        <v>5</v>
      </c>
      <c r="E25" s="18">
        <v>3150</v>
      </c>
      <c r="F25" s="92" t="s">
        <v>158</v>
      </c>
    </row>
    <row r="26" spans="1:6" ht="15.75" customHeight="1" x14ac:dyDescent="0.2">
      <c r="A26" s="93" t="s">
        <v>130</v>
      </c>
      <c r="B26" s="95" t="s">
        <v>159</v>
      </c>
      <c r="C26" s="18" t="s">
        <v>132</v>
      </c>
      <c r="D26" s="18">
        <v>4</v>
      </c>
      <c r="E26" s="18">
        <v>2520</v>
      </c>
      <c r="F26" s="92" t="s">
        <v>151</v>
      </c>
    </row>
    <row r="27" spans="1:6" ht="15.75" customHeight="1" x14ac:dyDescent="0.2">
      <c r="A27" s="93" t="s">
        <v>130</v>
      </c>
      <c r="B27" s="96" t="s">
        <v>160</v>
      </c>
      <c r="C27" s="18" t="s">
        <v>132</v>
      </c>
      <c r="D27" s="18">
        <v>4</v>
      </c>
      <c r="E27" s="18">
        <v>2520</v>
      </c>
      <c r="F27" s="92" t="s">
        <v>161</v>
      </c>
    </row>
    <row r="28" spans="1:6" ht="15.75" customHeight="1" x14ac:dyDescent="0.2">
      <c r="A28" s="93" t="s">
        <v>130</v>
      </c>
      <c r="B28" s="95" t="s">
        <v>162</v>
      </c>
      <c r="C28" s="18" t="s">
        <v>132</v>
      </c>
      <c r="D28" s="18">
        <v>4</v>
      </c>
      <c r="E28" s="18">
        <v>2520</v>
      </c>
      <c r="F28" s="92" t="s">
        <v>75</v>
      </c>
    </row>
    <row r="29" spans="1:6" ht="15.75" customHeight="1" x14ac:dyDescent="0.2">
      <c r="A29" s="93" t="s">
        <v>130</v>
      </c>
      <c r="B29" s="96" t="s">
        <v>163</v>
      </c>
      <c r="C29" s="18" t="s">
        <v>132</v>
      </c>
      <c r="D29" s="18">
        <v>4</v>
      </c>
      <c r="E29" s="18">
        <v>2520</v>
      </c>
      <c r="F29" s="92" t="s">
        <v>164</v>
      </c>
    </row>
    <row r="30" spans="1:6" ht="15.75" customHeight="1" x14ac:dyDescent="0.2">
      <c r="A30" s="93" t="s">
        <v>130</v>
      </c>
      <c r="B30" s="95" t="s">
        <v>165</v>
      </c>
      <c r="C30" s="18" t="s">
        <v>132</v>
      </c>
      <c r="D30" s="18">
        <v>4</v>
      </c>
      <c r="E30" s="18">
        <v>2520</v>
      </c>
      <c r="F30" s="92" t="s">
        <v>166</v>
      </c>
    </row>
    <row r="31" spans="1:6" ht="15.75" customHeight="1" x14ac:dyDescent="0.2">
      <c r="A31" s="93" t="s">
        <v>130</v>
      </c>
      <c r="B31" s="96" t="s">
        <v>167</v>
      </c>
      <c r="C31" s="18" t="s">
        <v>132</v>
      </c>
      <c r="D31" s="18">
        <v>4</v>
      </c>
      <c r="E31" s="18">
        <v>2520</v>
      </c>
      <c r="F31" s="92" t="s">
        <v>168</v>
      </c>
    </row>
    <row r="32" spans="1:6" ht="15.75" customHeight="1" x14ac:dyDescent="0.2">
      <c r="A32" s="93" t="s">
        <v>130</v>
      </c>
      <c r="B32" s="95" t="s">
        <v>169</v>
      </c>
      <c r="C32" s="18" t="s">
        <v>132</v>
      </c>
      <c r="D32" s="18">
        <v>4</v>
      </c>
      <c r="E32" s="18">
        <v>2520</v>
      </c>
      <c r="F32" s="92" t="s">
        <v>26</v>
      </c>
    </row>
    <row r="33" spans="1:7" ht="15.75" customHeight="1" x14ac:dyDescent="0.2">
      <c r="A33" s="93" t="s">
        <v>130</v>
      </c>
      <c r="B33" s="96" t="s">
        <v>170</v>
      </c>
      <c r="C33" s="18" t="s">
        <v>132</v>
      </c>
      <c r="D33" s="18">
        <v>4</v>
      </c>
      <c r="E33" s="18">
        <v>2520</v>
      </c>
      <c r="F33" s="92" t="s">
        <v>171</v>
      </c>
      <c r="G33" s="97"/>
    </row>
    <row r="34" spans="1:7" ht="15.75" customHeight="1" x14ac:dyDescent="0.2">
      <c r="A34" s="93" t="s">
        <v>130</v>
      </c>
      <c r="B34" s="95" t="s">
        <v>172</v>
      </c>
      <c r="C34" s="18" t="s">
        <v>132</v>
      </c>
      <c r="D34" s="18">
        <v>4</v>
      </c>
      <c r="E34" s="18">
        <v>2520</v>
      </c>
      <c r="F34" s="92" t="s">
        <v>173</v>
      </c>
    </row>
    <row r="35" spans="1:7" ht="15.75" customHeight="1" x14ac:dyDescent="0.2">
      <c r="A35" s="93" t="s">
        <v>130</v>
      </c>
      <c r="B35" s="96" t="s">
        <v>174</v>
      </c>
      <c r="C35" s="18" t="s">
        <v>132</v>
      </c>
      <c r="D35" s="18">
        <v>4</v>
      </c>
      <c r="E35" s="18">
        <v>2520</v>
      </c>
      <c r="F35" s="92" t="s">
        <v>175</v>
      </c>
    </row>
    <row r="36" spans="1:7" ht="15.75" customHeight="1" x14ac:dyDescent="0.2">
      <c r="A36" s="93" t="s">
        <v>130</v>
      </c>
      <c r="B36" s="95" t="s">
        <v>176</v>
      </c>
      <c r="C36" s="18" t="s">
        <v>132</v>
      </c>
      <c r="D36" s="45">
        <v>4</v>
      </c>
      <c r="E36" s="45">
        <v>2520</v>
      </c>
      <c r="F36" s="92" t="s">
        <v>177</v>
      </c>
    </row>
    <row r="37" spans="1:7" ht="15.75" customHeight="1" x14ac:dyDescent="0.2">
      <c r="A37" s="93" t="s">
        <v>130</v>
      </c>
      <c r="B37" s="96" t="s">
        <v>178</v>
      </c>
      <c r="C37" s="18" t="s">
        <v>132</v>
      </c>
      <c r="D37" s="45">
        <v>4</v>
      </c>
      <c r="E37" s="45">
        <v>2520</v>
      </c>
      <c r="F37" s="92" t="s">
        <v>54</v>
      </c>
    </row>
    <row r="38" spans="1:7" ht="15.75" customHeight="1" x14ac:dyDescent="0.2">
      <c r="A38" s="93" t="s">
        <v>130</v>
      </c>
      <c r="B38" s="95" t="s">
        <v>179</v>
      </c>
      <c r="C38" s="18" t="s">
        <v>132</v>
      </c>
      <c r="D38" s="45">
        <v>4</v>
      </c>
      <c r="E38" s="45">
        <v>2520</v>
      </c>
      <c r="F38" s="92" t="s">
        <v>180</v>
      </c>
    </row>
    <row r="39" spans="1:7" ht="15.75" customHeight="1" x14ac:dyDescent="0.2">
      <c r="A39" s="93" t="s">
        <v>130</v>
      </c>
      <c r="B39" s="96" t="s">
        <v>181</v>
      </c>
      <c r="C39" s="18" t="s">
        <v>132</v>
      </c>
      <c r="D39" s="45">
        <v>3</v>
      </c>
      <c r="E39" s="45">
        <v>1890</v>
      </c>
      <c r="F39" s="92" t="s">
        <v>182</v>
      </c>
    </row>
    <row r="40" spans="1:7" ht="15.75" customHeight="1" x14ac:dyDescent="0.2">
      <c r="A40" s="93" t="s">
        <v>130</v>
      </c>
      <c r="B40" s="95" t="s">
        <v>183</v>
      </c>
      <c r="C40" s="18" t="s">
        <v>132</v>
      </c>
      <c r="D40" s="45">
        <v>3</v>
      </c>
      <c r="E40" s="45">
        <v>1890</v>
      </c>
      <c r="F40" s="92" t="s">
        <v>184</v>
      </c>
    </row>
    <row r="41" spans="1:7" ht="15.75" customHeight="1" x14ac:dyDescent="0.2">
      <c r="A41" s="93" t="s">
        <v>130</v>
      </c>
      <c r="B41" s="96" t="s">
        <v>185</v>
      </c>
      <c r="C41" s="18" t="s">
        <v>132</v>
      </c>
      <c r="D41" s="45">
        <v>3</v>
      </c>
      <c r="E41" s="45">
        <v>1890</v>
      </c>
      <c r="F41" s="92" t="s">
        <v>186</v>
      </c>
    </row>
    <row r="42" spans="1:7" ht="15.75" customHeight="1" x14ac:dyDescent="0.2">
      <c r="A42" s="93" t="s">
        <v>130</v>
      </c>
      <c r="B42" s="95" t="s">
        <v>187</v>
      </c>
      <c r="C42" s="18" t="s">
        <v>132</v>
      </c>
      <c r="D42" s="45">
        <v>3</v>
      </c>
      <c r="E42" s="45">
        <v>1890</v>
      </c>
      <c r="F42" s="92" t="s">
        <v>75</v>
      </c>
    </row>
    <row r="43" spans="1:7" ht="15.75" customHeight="1" x14ac:dyDescent="0.2">
      <c r="A43" s="93" t="s">
        <v>130</v>
      </c>
      <c r="B43" s="96" t="s">
        <v>188</v>
      </c>
      <c r="C43" s="18" t="s">
        <v>132</v>
      </c>
      <c r="D43" s="45">
        <v>3</v>
      </c>
      <c r="E43" s="45">
        <v>1890</v>
      </c>
      <c r="F43" s="92" t="s">
        <v>184</v>
      </c>
    </row>
    <row r="44" spans="1:7" ht="15.75" customHeight="1" x14ac:dyDescent="0.2">
      <c r="A44" s="93" t="s">
        <v>130</v>
      </c>
      <c r="B44" s="95" t="s">
        <v>189</v>
      </c>
      <c r="C44" s="18" t="s">
        <v>132</v>
      </c>
      <c r="D44" s="45">
        <v>3</v>
      </c>
      <c r="E44" s="45">
        <v>1890</v>
      </c>
      <c r="F44" s="92" t="s">
        <v>75</v>
      </c>
    </row>
    <row r="45" spans="1:7" ht="15.75" customHeight="1" x14ac:dyDescent="0.2">
      <c r="A45" s="93" t="s">
        <v>130</v>
      </c>
      <c r="B45" s="96" t="s">
        <v>190</v>
      </c>
      <c r="C45" s="18" t="s">
        <v>132</v>
      </c>
      <c r="D45" s="45">
        <v>3</v>
      </c>
      <c r="E45" s="45">
        <v>1890</v>
      </c>
      <c r="F45" s="92" t="s">
        <v>191</v>
      </c>
    </row>
    <row r="46" spans="1:7" ht="15.75" customHeight="1" x14ac:dyDescent="0.2">
      <c r="A46" s="93" t="s">
        <v>130</v>
      </c>
      <c r="B46" s="95" t="s">
        <v>192</v>
      </c>
      <c r="C46" s="18" t="s">
        <v>132</v>
      </c>
      <c r="D46" s="45">
        <v>3</v>
      </c>
      <c r="E46" s="45">
        <v>1890</v>
      </c>
      <c r="F46" s="92" t="s">
        <v>101</v>
      </c>
    </row>
    <row r="47" spans="1:7" ht="15.75" customHeight="1" x14ac:dyDescent="0.2">
      <c r="A47" s="93" t="s">
        <v>130</v>
      </c>
      <c r="B47" s="96" t="s">
        <v>193</v>
      </c>
      <c r="C47" s="18" t="s">
        <v>132</v>
      </c>
      <c r="D47" s="45">
        <v>3</v>
      </c>
      <c r="E47" s="45">
        <v>1890</v>
      </c>
      <c r="F47" s="92" t="s">
        <v>194</v>
      </c>
    </row>
    <row r="48" spans="1:7" ht="15.75" customHeight="1" x14ac:dyDescent="0.2">
      <c r="A48" s="93" t="s">
        <v>130</v>
      </c>
      <c r="B48" s="95" t="s">
        <v>195</v>
      </c>
      <c r="C48" s="18" t="s">
        <v>132</v>
      </c>
      <c r="D48" s="45">
        <v>3</v>
      </c>
      <c r="E48" s="45">
        <v>1890</v>
      </c>
      <c r="F48" s="92" t="s">
        <v>158</v>
      </c>
    </row>
    <row r="49" spans="1:6" ht="15.75" customHeight="1" x14ac:dyDescent="0.2">
      <c r="A49" s="93" t="s">
        <v>130</v>
      </c>
      <c r="B49" s="96" t="s">
        <v>196</v>
      </c>
      <c r="C49" s="18" t="s">
        <v>132</v>
      </c>
      <c r="D49" s="45">
        <v>3</v>
      </c>
      <c r="E49" s="45">
        <v>1890</v>
      </c>
      <c r="F49" s="92" t="s">
        <v>54</v>
      </c>
    </row>
    <row r="50" spans="1:6" ht="15.75" customHeight="1" x14ac:dyDescent="0.2">
      <c r="A50" s="93" t="s">
        <v>130</v>
      </c>
      <c r="B50" s="95" t="s">
        <v>197</v>
      </c>
      <c r="C50" s="18" t="s">
        <v>132</v>
      </c>
      <c r="D50" s="45">
        <v>2</v>
      </c>
      <c r="E50" s="45">
        <v>1260</v>
      </c>
      <c r="F50" s="92" t="s">
        <v>182</v>
      </c>
    </row>
    <row r="51" spans="1:6" ht="15.75" customHeight="1" x14ac:dyDescent="0.2">
      <c r="A51" s="93" t="s">
        <v>130</v>
      </c>
      <c r="B51" s="96" t="s">
        <v>198</v>
      </c>
      <c r="C51" s="18" t="s">
        <v>132</v>
      </c>
      <c r="D51" s="45">
        <v>2</v>
      </c>
      <c r="E51" s="45">
        <v>1260</v>
      </c>
      <c r="F51" s="92" t="s">
        <v>182</v>
      </c>
    </row>
    <row r="52" spans="1:6" ht="15.75" customHeight="1" x14ac:dyDescent="0.2">
      <c r="A52" s="93" t="s">
        <v>130</v>
      </c>
      <c r="B52" s="95" t="s">
        <v>199</v>
      </c>
      <c r="C52" s="18" t="s">
        <v>132</v>
      </c>
      <c r="D52" s="45">
        <v>2</v>
      </c>
      <c r="E52" s="45">
        <v>1260</v>
      </c>
      <c r="F52" s="92" t="s">
        <v>184</v>
      </c>
    </row>
    <row r="53" spans="1:6" ht="15.75" customHeight="1" x14ac:dyDescent="0.2">
      <c r="A53" s="93" t="s">
        <v>130</v>
      </c>
      <c r="B53" s="96" t="s">
        <v>200</v>
      </c>
      <c r="C53" s="18" t="s">
        <v>132</v>
      </c>
      <c r="D53" s="45">
        <v>2</v>
      </c>
      <c r="E53" s="45">
        <v>1260</v>
      </c>
      <c r="F53" s="92" t="s">
        <v>201</v>
      </c>
    </row>
    <row r="54" spans="1:6" ht="15.75" customHeight="1" x14ac:dyDescent="0.2">
      <c r="A54" s="93" t="s">
        <v>130</v>
      </c>
      <c r="B54" s="95" t="s">
        <v>202</v>
      </c>
      <c r="C54" s="18" t="s">
        <v>132</v>
      </c>
      <c r="D54" s="45">
        <v>2</v>
      </c>
      <c r="E54" s="45">
        <v>1260</v>
      </c>
      <c r="F54" s="92" t="s">
        <v>186</v>
      </c>
    </row>
    <row r="55" spans="1:6" ht="15.75" customHeight="1" x14ac:dyDescent="0.2">
      <c r="A55" s="93" t="s">
        <v>130</v>
      </c>
      <c r="B55" s="96" t="s">
        <v>203</v>
      </c>
      <c r="C55" s="18" t="s">
        <v>132</v>
      </c>
      <c r="D55" s="45">
        <v>2</v>
      </c>
      <c r="E55" s="45">
        <v>1260</v>
      </c>
      <c r="F55" s="92" t="s">
        <v>204</v>
      </c>
    </row>
    <row r="56" spans="1:6" ht="15.75" customHeight="1" x14ac:dyDescent="0.2">
      <c r="A56" s="93" t="s">
        <v>130</v>
      </c>
      <c r="B56" s="95" t="s">
        <v>205</v>
      </c>
      <c r="C56" s="18" t="s">
        <v>132</v>
      </c>
      <c r="D56" s="45">
        <v>2</v>
      </c>
      <c r="E56" s="45">
        <v>1260</v>
      </c>
      <c r="F56" s="92" t="s">
        <v>161</v>
      </c>
    </row>
    <row r="57" spans="1:6" ht="15.75" customHeight="1" x14ac:dyDescent="0.2">
      <c r="A57" s="93" t="s">
        <v>130</v>
      </c>
      <c r="B57" s="96" t="s">
        <v>206</v>
      </c>
      <c r="C57" s="18" t="s">
        <v>132</v>
      </c>
      <c r="D57" s="45">
        <v>2</v>
      </c>
      <c r="E57" s="45">
        <v>1260</v>
      </c>
      <c r="F57" s="92" t="s">
        <v>75</v>
      </c>
    </row>
    <row r="58" spans="1:6" ht="15.75" customHeight="1" x14ac:dyDescent="0.2">
      <c r="A58" s="93" t="s">
        <v>130</v>
      </c>
      <c r="B58" s="95" t="s">
        <v>207</v>
      </c>
      <c r="C58" s="18" t="s">
        <v>132</v>
      </c>
      <c r="D58" s="45">
        <v>2</v>
      </c>
      <c r="E58" s="45">
        <v>1260</v>
      </c>
      <c r="F58" s="92" t="s">
        <v>75</v>
      </c>
    </row>
    <row r="59" spans="1:6" ht="15.75" customHeight="1" x14ac:dyDescent="0.2">
      <c r="A59" s="93" t="s">
        <v>130</v>
      </c>
      <c r="B59" s="96" t="s">
        <v>208</v>
      </c>
      <c r="C59" s="18" t="s">
        <v>132</v>
      </c>
      <c r="D59" s="45">
        <v>2</v>
      </c>
      <c r="E59" s="45">
        <v>1260</v>
      </c>
      <c r="F59" s="92" t="s">
        <v>164</v>
      </c>
    </row>
    <row r="60" spans="1:6" ht="15.75" customHeight="1" x14ac:dyDescent="0.2">
      <c r="A60" s="93" t="s">
        <v>130</v>
      </c>
      <c r="B60" s="95" t="s">
        <v>209</v>
      </c>
      <c r="C60" s="18" t="s">
        <v>132</v>
      </c>
      <c r="D60" s="45">
        <v>2</v>
      </c>
      <c r="E60" s="45">
        <v>1260</v>
      </c>
      <c r="F60" s="92" t="s">
        <v>166</v>
      </c>
    </row>
    <row r="61" spans="1:6" ht="15.75" customHeight="1" x14ac:dyDescent="0.2">
      <c r="A61" s="93" t="s">
        <v>130</v>
      </c>
      <c r="B61" s="96" t="s">
        <v>210</v>
      </c>
      <c r="C61" s="18" t="s">
        <v>132</v>
      </c>
      <c r="D61" s="45">
        <v>2</v>
      </c>
      <c r="E61" s="45">
        <v>1260</v>
      </c>
      <c r="F61" s="92" t="s">
        <v>166</v>
      </c>
    </row>
    <row r="62" spans="1:6" ht="15.75" customHeight="1" x14ac:dyDescent="0.2">
      <c r="A62" s="93" t="s">
        <v>130</v>
      </c>
      <c r="B62" s="95" t="s">
        <v>211</v>
      </c>
      <c r="C62" s="18" t="s">
        <v>132</v>
      </c>
      <c r="D62" s="45">
        <v>2</v>
      </c>
      <c r="E62" s="45">
        <v>1260</v>
      </c>
      <c r="F62" s="92" t="s">
        <v>168</v>
      </c>
    </row>
    <row r="63" spans="1:6" ht="15.75" customHeight="1" x14ac:dyDescent="0.2">
      <c r="A63" s="93" t="s">
        <v>130</v>
      </c>
      <c r="B63" s="96" t="s">
        <v>212</v>
      </c>
      <c r="C63" s="18" t="s">
        <v>132</v>
      </c>
      <c r="D63" s="45">
        <v>2</v>
      </c>
      <c r="E63" s="45">
        <v>1260</v>
      </c>
      <c r="F63" s="92" t="s">
        <v>168</v>
      </c>
    </row>
    <row r="64" spans="1:6" ht="15.75" customHeight="1" x14ac:dyDescent="0.2">
      <c r="A64" s="93" t="s">
        <v>130</v>
      </c>
      <c r="B64" s="95" t="s">
        <v>213</v>
      </c>
      <c r="C64" s="18" t="s">
        <v>132</v>
      </c>
      <c r="D64" s="45">
        <v>2</v>
      </c>
      <c r="E64" s="45">
        <v>1260</v>
      </c>
      <c r="F64" s="92" t="s">
        <v>168</v>
      </c>
    </row>
    <row r="65" spans="1:6" ht="15.75" customHeight="1" x14ac:dyDescent="0.2">
      <c r="A65" s="93" t="s">
        <v>130</v>
      </c>
      <c r="B65" s="96" t="s">
        <v>214</v>
      </c>
      <c r="C65" s="18" t="s">
        <v>132</v>
      </c>
      <c r="D65" s="45">
        <v>2</v>
      </c>
      <c r="E65" s="45">
        <v>1260</v>
      </c>
      <c r="F65" s="92" t="s">
        <v>138</v>
      </c>
    </row>
    <row r="66" spans="1:6" ht="15.75" customHeight="1" x14ac:dyDescent="0.2">
      <c r="A66" s="93" t="s">
        <v>130</v>
      </c>
      <c r="B66" s="95" t="s">
        <v>215</v>
      </c>
      <c r="C66" s="18" t="s">
        <v>132</v>
      </c>
      <c r="D66" s="45">
        <v>2</v>
      </c>
      <c r="E66" s="45">
        <v>1260</v>
      </c>
      <c r="F66" s="92" t="s">
        <v>26</v>
      </c>
    </row>
    <row r="67" spans="1:6" ht="15.75" customHeight="1" x14ac:dyDescent="0.2">
      <c r="A67" s="93" t="s">
        <v>130</v>
      </c>
      <c r="B67" s="96" t="s">
        <v>216</v>
      </c>
      <c r="C67" s="18" t="s">
        <v>132</v>
      </c>
      <c r="D67" s="45">
        <v>2</v>
      </c>
      <c r="E67" s="45">
        <v>1260</v>
      </c>
      <c r="F67" s="92" t="s">
        <v>140</v>
      </c>
    </row>
    <row r="68" spans="1:6" ht="15.75" customHeight="1" x14ac:dyDescent="0.2">
      <c r="A68" s="93" t="s">
        <v>130</v>
      </c>
      <c r="B68" s="95" t="s">
        <v>217</v>
      </c>
      <c r="C68" s="18" t="s">
        <v>132</v>
      </c>
      <c r="D68" s="45">
        <v>2</v>
      </c>
      <c r="E68" s="45">
        <v>1260</v>
      </c>
      <c r="F68" s="92" t="s">
        <v>105</v>
      </c>
    </row>
    <row r="69" spans="1:6" ht="15.75" customHeight="1" x14ac:dyDescent="0.2">
      <c r="A69" s="93" t="s">
        <v>130</v>
      </c>
      <c r="B69" s="96" t="s">
        <v>218</v>
      </c>
      <c r="C69" s="18" t="s">
        <v>132</v>
      </c>
      <c r="D69" s="45">
        <v>2</v>
      </c>
      <c r="E69" s="45">
        <v>1260</v>
      </c>
      <c r="F69" s="92" t="s">
        <v>219</v>
      </c>
    </row>
    <row r="70" spans="1:6" ht="15.75" customHeight="1" x14ac:dyDescent="0.2">
      <c r="A70" s="93" t="s">
        <v>130</v>
      </c>
      <c r="B70" s="95" t="s">
        <v>220</v>
      </c>
      <c r="C70" s="18" t="s">
        <v>132</v>
      </c>
      <c r="D70" s="45">
        <v>2</v>
      </c>
      <c r="E70" s="45">
        <v>1260</v>
      </c>
      <c r="F70" s="92" t="s">
        <v>144</v>
      </c>
    </row>
    <row r="71" spans="1:6" ht="15.75" customHeight="1" x14ac:dyDescent="0.2">
      <c r="A71" s="93" t="s">
        <v>130</v>
      </c>
      <c r="B71" s="96" t="s">
        <v>221</v>
      </c>
      <c r="C71" s="18" t="s">
        <v>132</v>
      </c>
      <c r="D71" s="45">
        <v>2</v>
      </c>
      <c r="E71" s="45">
        <v>1260</v>
      </c>
      <c r="F71" s="92" t="s">
        <v>144</v>
      </c>
    </row>
    <row r="72" spans="1:6" ht="15.75" customHeight="1" x14ac:dyDescent="0.2">
      <c r="A72" s="93" t="s">
        <v>130</v>
      </c>
      <c r="B72" s="95" t="s">
        <v>222</v>
      </c>
      <c r="C72" s="18" t="s">
        <v>132</v>
      </c>
      <c r="D72" s="45">
        <v>2</v>
      </c>
      <c r="E72" s="45">
        <v>1260</v>
      </c>
      <c r="F72" s="92" t="s">
        <v>177</v>
      </c>
    </row>
    <row r="73" spans="1:6" ht="15.75" customHeight="1" x14ac:dyDescent="0.2">
      <c r="A73" s="93" t="s">
        <v>130</v>
      </c>
      <c r="B73" s="96" t="s">
        <v>223</v>
      </c>
      <c r="C73" s="18" t="s">
        <v>132</v>
      </c>
      <c r="D73" s="45">
        <v>2</v>
      </c>
      <c r="E73" s="45">
        <v>1260</v>
      </c>
      <c r="F73" s="92" t="s">
        <v>194</v>
      </c>
    </row>
    <row r="74" spans="1:6" ht="15.75" customHeight="1" x14ac:dyDescent="0.2">
      <c r="A74" s="93" t="s">
        <v>130</v>
      </c>
      <c r="B74" s="95" t="s">
        <v>224</v>
      </c>
      <c r="C74" s="18" t="s">
        <v>132</v>
      </c>
      <c r="D74" s="45">
        <v>2</v>
      </c>
      <c r="E74" s="45">
        <v>1260</v>
      </c>
      <c r="F74" s="92" t="s">
        <v>194</v>
      </c>
    </row>
    <row r="75" spans="1:6" ht="15.75" customHeight="1" x14ac:dyDescent="0.2">
      <c r="A75" s="93" t="s">
        <v>130</v>
      </c>
      <c r="B75" s="96" t="s">
        <v>225</v>
      </c>
      <c r="C75" s="18" t="s">
        <v>132</v>
      </c>
      <c r="D75" s="45">
        <v>2</v>
      </c>
      <c r="E75" s="45">
        <v>1260</v>
      </c>
      <c r="F75" s="92" t="s">
        <v>194</v>
      </c>
    </row>
    <row r="76" spans="1:6" ht="15.75" customHeight="1" x14ac:dyDescent="0.2">
      <c r="A76" s="93" t="s">
        <v>130</v>
      </c>
      <c r="B76" s="95" t="s">
        <v>226</v>
      </c>
      <c r="C76" s="18" t="s">
        <v>132</v>
      </c>
      <c r="D76" s="45">
        <v>2</v>
      </c>
      <c r="E76" s="45">
        <v>1260</v>
      </c>
      <c r="F76" s="92" t="s">
        <v>194</v>
      </c>
    </row>
    <row r="77" spans="1:6" ht="15.75" customHeight="1" x14ac:dyDescent="0.2">
      <c r="A77" s="93" t="s">
        <v>130</v>
      </c>
      <c r="B77" s="96" t="s">
        <v>227</v>
      </c>
      <c r="C77" s="18" t="s">
        <v>132</v>
      </c>
      <c r="D77" s="45">
        <v>2</v>
      </c>
      <c r="E77" s="45">
        <v>1260</v>
      </c>
      <c r="F77" s="92" t="s">
        <v>158</v>
      </c>
    </row>
    <row r="78" spans="1:6" ht="15.75" customHeight="1" x14ac:dyDescent="0.2">
      <c r="A78" s="93" t="s">
        <v>130</v>
      </c>
      <c r="B78" s="95" t="s">
        <v>228</v>
      </c>
      <c r="C78" s="18" t="s">
        <v>132</v>
      </c>
      <c r="D78" s="45">
        <v>2</v>
      </c>
      <c r="E78" s="45">
        <v>1260</v>
      </c>
      <c r="F78" s="92" t="s">
        <v>158</v>
      </c>
    </row>
    <row r="79" spans="1:6" ht="15.75" customHeight="1" x14ac:dyDescent="0.2">
      <c r="A79" s="93" t="s">
        <v>130</v>
      </c>
      <c r="B79" s="98" t="s">
        <v>229</v>
      </c>
      <c r="C79" s="18" t="s">
        <v>132</v>
      </c>
      <c r="D79" s="45">
        <v>2</v>
      </c>
      <c r="E79" s="45">
        <v>1260</v>
      </c>
      <c r="F79" s="92" t="s">
        <v>75</v>
      </c>
    </row>
    <row r="80" spans="1:6" ht="15.75" customHeight="1" x14ac:dyDescent="0.2">
      <c r="A80" s="77"/>
      <c r="B80" s="99" t="s">
        <v>58</v>
      </c>
      <c r="C80" s="41"/>
      <c r="D80" s="44"/>
      <c r="E80" s="43">
        <f>SUM(E7:E79)</f>
        <v>178920</v>
      </c>
      <c r="F80" s="100"/>
    </row>
    <row r="81" spans="1:6" ht="15.75" customHeight="1" x14ac:dyDescent="0.2">
      <c r="B81" s="2" t="s">
        <v>59</v>
      </c>
      <c r="C81" s="154" t="s">
        <v>60</v>
      </c>
      <c r="D81" s="155"/>
      <c r="E81" s="156"/>
      <c r="F81" s="46" t="s">
        <v>61</v>
      </c>
    </row>
    <row r="82" spans="1:6" ht="15.75" customHeight="1" x14ac:dyDescent="0.2">
      <c r="A82" s="47" t="s">
        <v>62</v>
      </c>
      <c r="B82" s="48" t="s">
        <v>63</v>
      </c>
      <c r="C82" s="157" t="s">
        <v>64</v>
      </c>
      <c r="D82" s="158"/>
      <c r="E82" s="159"/>
      <c r="F82" s="50">
        <v>45658</v>
      </c>
    </row>
    <row r="83" spans="1:6" ht="15.75" customHeight="1" x14ac:dyDescent="0.2">
      <c r="A83" s="47" t="s">
        <v>62</v>
      </c>
      <c r="B83" s="48" t="s">
        <v>65</v>
      </c>
      <c r="C83" s="160" t="s">
        <v>66</v>
      </c>
      <c r="D83" s="158"/>
      <c r="E83" s="159"/>
      <c r="F83" s="50">
        <v>45658</v>
      </c>
    </row>
    <row r="84" spans="1:6" ht="15.75" customHeight="1" x14ac:dyDescent="0.2">
      <c r="A84" s="52" t="s">
        <v>67</v>
      </c>
      <c r="B84" s="53" t="s">
        <v>68</v>
      </c>
      <c r="C84" s="151" t="s">
        <v>69</v>
      </c>
      <c r="D84" s="152"/>
      <c r="E84" s="153"/>
      <c r="F84" s="50">
        <v>45658</v>
      </c>
    </row>
    <row r="85" spans="1:6" ht="15.75" customHeight="1" x14ac:dyDescent="0.2"/>
    <row r="86" spans="1:6" ht="15.75" customHeight="1" x14ac:dyDescent="0.2"/>
    <row r="87" spans="1:6" ht="15.75" customHeight="1" x14ac:dyDescent="0.2"/>
    <row r="88" spans="1:6" ht="15.75" customHeight="1" x14ac:dyDescent="0.2"/>
    <row r="89" spans="1:6" ht="15.75" customHeight="1" x14ac:dyDescent="0.2"/>
    <row r="90" spans="1:6" ht="15.75" customHeight="1" x14ac:dyDescent="0.2"/>
    <row r="91" spans="1:6" ht="15.75" customHeight="1" x14ac:dyDescent="0.2"/>
    <row r="92" spans="1:6" ht="15.75" customHeight="1" x14ac:dyDescent="0.2"/>
    <row r="93" spans="1:6" ht="15.75" customHeight="1" x14ac:dyDescent="0.2"/>
    <row r="94" spans="1:6" ht="15.75" customHeight="1" x14ac:dyDescent="0.2"/>
    <row r="95" spans="1:6" ht="15.75" customHeight="1" x14ac:dyDescent="0.2"/>
    <row r="96" spans="1: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0">
    <mergeCell ref="C81:E81"/>
    <mergeCell ref="C82:E82"/>
    <mergeCell ref="C83:E83"/>
    <mergeCell ref="C84:E84"/>
    <mergeCell ref="B6:E6"/>
    <mergeCell ref="B3:E3"/>
    <mergeCell ref="B5:E5"/>
    <mergeCell ref="A1:A3"/>
    <mergeCell ref="B1:E1"/>
    <mergeCell ref="B2:E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00"/>
  <sheetViews>
    <sheetView workbookViewId="0"/>
  </sheetViews>
  <sheetFormatPr defaultColWidth="14.390625" defaultRowHeight="15" customHeight="1" x14ac:dyDescent="0.2"/>
  <cols>
    <col min="1" max="1" width="26.23046875" customWidth="1"/>
    <col min="2" max="2" width="39.81640625" customWidth="1"/>
    <col min="3" max="3" width="24.34765625" customWidth="1"/>
    <col min="4" max="5" width="11.43359375" customWidth="1"/>
    <col min="6" max="6" width="16.6796875" customWidth="1"/>
    <col min="7" max="11" width="10.76171875" customWidth="1"/>
  </cols>
  <sheetData>
    <row r="1" spans="1:7" ht="30.75" customHeight="1" x14ac:dyDescent="0.2">
      <c r="A1" s="169"/>
      <c r="B1" s="170" t="s">
        <v>0</v>
      </c>
      <c r="C1" s="171"/>
      <c r="D1" s="171"/>
      <c r="E1" s="171"/>
      <c r="F1" s="2" t="s">
        <v>1</v>
      </c>
    </row>
    <row r="2" spans="1:7" ht="30.75" customHeight="1" x14ac:dyDescent="0.2">
      <c r="A2" s="162"/>
      <c r="B2" s="170" t="s">
        <v>3</v>
      </c>
      <c r="C2" s="171"/>
      <c r="D2" s="171"/>
      <c r="E2" s="171"/>
      <c r="F2" s="2" t="s">
        <v>4</v>
      </c>
    </row>
    <row r="3" spans="1:7" ht="30.75" customHeight="1" x14ac:dyDescent="0.2">
      <c r="A3" s="163"/>
      <c r="B3" s="170" t="s">
        <v>70</v>
      </c>
      <c r="C3" s="171"/>
      <c r="D3" s="171"/>
      <c r="E3" s="171"/>
      <c r="F3" s="4">
        <v>46268</v>
      </c>
    </row>
    <row r="4" spans="1:7" ht="17.25" customHeight="1" x14ac:dyDescent="0.2">
      <c r="A4" s="5" t="s">
        <v>230</v>
      </c>
      <c r="B4" s="7" t="s">
        <v>231</v>
      </c>
      <c r="C4" s="7" t="s">
        <v>72</v>
      </c>
      <c r="D4" s="7" t="s">
        <v>9</v>
      </c>
      <c r="E4" s="7" t="s">
        <v>10</v>
      </c>
      <c r="F4" s="7" t="s">
        <v>11</v>
      </c>
    </row>
    <row r="5" spans="1:7" ht="17.25" customHeight="1" x14ac:dyDescent="0.2">
      <c r="A5" s="55" t="s">
        <v>73</v>
      </c>
      <c r="B5" s="56" t="s">
        <v>232</v>
      </c>
      <c r="C5" s="58"/>
      <c r="D5" s="58"/>
      <c r="E5" s="58"/>
      <c r="F5" s="173" t="s">
        <v>233</v>
      </c>
    </row>
    <row r="6" spans="1:7" x14ac:dyDescent="0.2">
      <c r="A6" s="55" t="s">
        <v>14</v>
      </c>
      <c r="B6" s="101" t="s">
        <v>234</v>
      </c>
      <c r="C6" s="58"/>
      <c r="D6" s="58"/>
      <c r="E6" s="102"/>
      <c r="F6" s="162"/>
    </row>
    <row r="7" spans="1:7" x14ac:dyDescent="0.2">
      <c r="A7" s="103" t="s">
        <v>235</v>
      </c>
      <c r="B7" s="104" t="s">
        <v>236</v>
      </c>
      <c r="C7" s="18" t="s">
        <v>19</v>
      </c>
      <c r="D7" s="18">
        <v>5</v>
      </c>
      <c r="E7" s="18">
        <v>3433.9938535542492</v>
      </c>
      <c r="F7" s="162"/>
    </row>
    <row r="8" spans="1:7" x14ac:dyDescent="0.2">
      <c r="A8" s="103" t="s">
        <v>235</v>
      </c>
      <c r="B8" s="104" t="s">
        <v>237</v>
      </c>
      <c r="C8" s="18" t="s">
        <v>19</v>
      </c>
      <c r="D8" s="18">
        <v>6</v>
      </c>
      <c r="E8" s="18">
        <v>4120.7926242650992</v>
      </c>
      <c r="F8" s="162"/>
    </row>
    <row r="9" spans="1:7" x14ac:dyDescent="0.2">
      <c r="A9" s="103" t="s">
        <v>235</v>
      </c>
      <c r="B9" s="104" t="s">
        <v>238</v>
      </c>
      <c r="C9" s="18" t="s">
        <v>19</v>
      </c>
      <c r="D9" s="18">
        <v>7</v>
      </c>
      <c r="E9" s="18">
        <v>4807.5913949759488</v>
      </c>
      <c r="F9" s="162"/>
    </row>
    <row r="10" spans="1:7" x14ac:dyDescent="0.2">
      <c r="A10" s="103" t="s">
        <v>235</v>
      </c>
      <c r="B10" s="104" t="s">
        <v>239</v>
      </c>
      <c r="C10" s="18" t="s">
        <v>19</v>
      </c>
      <c r="D10" s="18">
        <v>18</v>
      </c>
      <c r="E10" s="18">
        <v>12362.377872795296</v>
      </c>
      <c r="F10" s="162"/>
    </row>
    <row r="11" spans="1:7" x14ac:dyDescent="0.2">
      <c r="A11" s="103" t="s">
        <v>235</v>
      </c>
      <c r="B11" s="104" t="s">
        <v>240</v>
      </c>
      <c r="C11" s="18" t="s">
        <v>19</v>
      </c>
      <c r="D11" s="18">
        <v>6</v>
      </c>
      <c r="E11" s="18">
        <v>4120.7926242650992</v>
      </c>
      <c r="F11" s="162"/>
    </row>
    <row r="12" spans="1:7" x14ac:dyDescent="0.2">
      <c r="A12" s="103" t="s">
        <v>235</v>
      </c>
      <c r="B12" s="104" t="s">
        <v>241</v>
      </c>
      <c r="C12" s="18" t="s">
        <v>19</v>
      </c>
      <c r="D12" s="18">
        <v>16</v>
      </c>
      <c r="E12" s="18">
        <v>10988.780331373597</v>
      </c>
      <c r="F12" s="162"/>
    </row>
    <row r="13" spans="1:7" x14ac:dyDescent="0.2">
      <c r="A13" s="103" t="s">
        <v>235</v>
      </c>
      <c r="B13" s="104" t="s">
        <v>242</v>
      </c>
      <c r="C13" s="18" t="s">
        <v>19</v>
      </c>
      <c r="D13" s="18">
        <v>7</v>
      </c>
      <c r="E13" s="18">
        <v>4807.5913949759488</v>
      </c>
      <c r="F13" s="162"/>
    </row>
    <row r="14" spans="1:7" x14ac:dyDescent="0.2">
      <c r="A14" s="103" t="s">
        <v>243</v>
      </c>
      <c r="B14" s="104" t="s">
        <v>244</v>
      </c>
      <c r="C14" s="18" t="s">
        <v>245</v>
      </c>
      <c r="D14" s="18">
        <v>9</v>
      </c>
      <c r="E14" s="18">
        <v>4952.454545454545</v>
      </c>
      <c r="F14" s="162"/>
      <c r="G14" s="97" t="s">
        <v>246</v>
      </c>
    </row>
    <row r="15" spans="1:7" x14ac:dyDescent="0.2">
      <c r="A15" s="103" t="s">
        <v>243</v>
      </c>
      <c r="B15" s="104" t="s">
        <v>247</v>
      </c>
      <c r="C15" s="18" t="s">
        <v>245</v>
      </c>
      <c r="D15" s="18">
        <v>6</v>
      </c>
      <c r="E15" s="18">
        <v>3301.6363636363631</v>
      </c>
      <c r="F15" s="162"/>
    </row>
    <row r="16" spans="1:7" x14ac:dyDescent="0.2">
      <c r="A16" s="103" t="s">
        <v>248</v>
      </c>
      <c r="B16" s="104" t="s">
        <v>249</v>
      </c>
      <c r="C16" s="18" t="s">
        <v>250</v>
      </c>
      <c r="D16" s="18">
        <v>7</v>
      </c>
      <c r="E16" s="18">
        <v>758.27906976744202</v>
      </c>
      <c r="F16" s="165"/>
    </row>
    <row r="17" spans="1:6" x14ac:dyDescent="0.2">
      <c r="A17" s="55" t="s">
        <v>14</v>
      </c>
      <c r="B17" s="33" t="s">
        <v>251</v>
      </c>
      <c r="C17" s="105"/>
      <c r="D17" s="37"/>
      <c r="E17" s="106"/>
      <c r="F17" s="173" t="s">
        <v>252</v>
      </c>
    </row>
    <row r="18" spans="1:6" x14ac:dyDescent="0.2">
      <c r="A18" s="107" t="s">
        <v>253</v>
      </c>
      <c r="B18" s="85" t="s">
        <v>254</v>
      </c>
      <c r="C18" s="18" t="s">
        <v>19</v>
      </c>
      <c r="D18" s="18">
        <v>5</v>
      </c>
      <c r="E18" s="18">
        <v>4163.9938535542487</v>
      </c>
      <c r="F18" s="162"/>
    </row>
    <row r="19" spans="1:6" x14ac:dyDescent="0.2">
      <c r="A19" s="107" t="s">
        <v>253</v>
      </c>
      <c r="B19" s="85" t="s">
        <v>255</v>
      </c>
      <c r="C19" s="18" t="s">
        <v>19</v>
      </c>
      <c r="D19" s="18">
        <v>2</v>
      </c>
      <c r="E19" s="18">
        <v>1665.5975414216996</v>
      </c>
      <c r="F19" s="162"/>
    </row>
    <row r="20" spans="1:6" x14ac:dyDescent="0.2">
      <c r="A20" s="107" t="s">
        <v>253</v>
      </c>
      <c r="B20" s="85" t="s">
        <v>256</v>
      </c>
      <c r="C20" s="18" t="s">
        <v>19</v>
      </c>
      <c r="D20" s="18">
        <v>4</v>
      </c>
      <c r="E20" s="18">
        <v>3331.1950828433992</v>
      </c>
      <c r="F20" s="162"/>
    </row>
    <row r="21" spans="1:6" ht="15.75" customHeight="1" x14ac:dyDescent="0.2">
      <c r="A21" s="107" t="s">
        <v>253</v>
      </c>
      <c r="B21" s="85" t="s">
        <v>257</v>
      </c>
      <c r="C21" s="18" t="s">
        <v>19</v>
      </c>
      <c r="D21" s="18">
        <v>3</v>
      </c>
      <c r="E21" s="18">
        <v>3000</v>
      </c>
      <c r="F21" s="165"/>
    </row>
    <row r="22" spans="1:6" ht="15.75" customHeight="1" x14ac:dyDescent="0.2">
      <c r="A22" s="55" t="s">
        <v>14</v>
      </c>
      <c r="B22" s="33" t="s">
        <v>258</v>
      </c>
      <c r="C22" s="105"/>
      <c r="D22" s="37"/>
      <c r="E22" s="27"/>
      <c r="F22" s="179" t="s">
        <v>259</v>
      </c>
    </row>
    <row r="23" spans="1:6" ht="15.75" customHeight="1" x14ac:dyDescent="0.2">
      <c r="A23" s="107" t="s">
        <v>52</v>
      </c>
      <c r="B23" s="85" t="s">
        <v>260</v>
      </c>
      <c r="C23" s="18" t="s">
        <v>19</v>
      </c>
      <c r="D23" s="45">
        <v>5</v>
      </c>
      <c r="E23" s="18">
        <v>6171.4938535542487</v>
      </c>
      <c r="F23" s="162"/>
    </row>
    <row r="24" spans="1:6" ht="15.75" customHeight="1" x14ac:dyDescent="0.2">
      <c r="A24" s="107" t="s">
        <v>52</v>
      </c>
      <c r="B24" s="85" t="s">
        <v>261</v>
      </c>
      <c r="C24" s="18" t="s">
        <v>19</v>
      </c>
      <c r="D24" s="18">
        <v>3</v>
      </c>
      <c r="E24" s="18">
        <v>3702.8963121325496</v>
      </c>
      <c r="F24" s="162"/>
    </row>
    <row r="25" spans="1:6" ht="15.75" customHeight="1" x14ac:dyDescent="0.2">
      <c r="A25" s="107" t="s">
        <v>52</v>
      </c>
      <c r="B25" s="85" t="s">
        <v>262</v>
      </c>
      <c r="C25" s="18" t="s">
        <v>19</v>
      </c>
      <c r="D25" s="18">
        <v>6</v>
      </c>
      <c r="E25" s="18">
        <v>6000</v>
      </c>
      <c r="F25" s="162"/>
    </row>
    <row r="26" spans="1:6" ht="15.75" customHeight="1" x14ac:dyDescent="0.2">
      <c r="A26" s="107" t="s">
        <v>52</v>
      </c>
      <c r="B26" s="85" t="s">
        <v>263</v>
      </c>
      <c r="C26" s="18" t="s">
        <v>19</v>
      </c>
      <c r="D26" s="18">
        <v>3</v>
      </c>
      <c r="E26" s="18">
        <v>3100</v>
      </c>
      <c r="F26" s="162"/>
    </row>
    <row r="27" spans="1:6" ht="15.75" customHeight="1" x14ac:dyDescent="0.2">
      <c r="A27" s="107" t="s">
        <v>243</v>
      </c>
      <c r="B27" s="86" t="s">
        <v>264</v>
      </c>
      <c r="C27" s="23" t="s">
        <v>19</v>
      </c>
      <c r="D27" s="23">
        <v>2</v>
      </c>
      <c r="E27" s="23">
        <v>1600</v>
      </c>
      <c r="F27" s="165"/>
    </row>
    <row r="28" spans="1:6" ht="15.75" customHeight="1" x14ac:dyDescent="0.2">
      <c r="A28" s="55" t="s">
        <v>14</v>
      </c>
      <c r="B28" s="36" t="s">
        <v>166</v>
      </c>
      <c r="C28" s="37"/>
      <c r="D28" s="37"/>
      <c r="E28" s="27"/>
      <c r="F28" s="173" t="s">
        <v>265</v>
      </c>
    </row>
    <row r="29" spans="1:6" ht="15.75" customHeight="1" x14ac:dyDescent="0.2">
      <c r="A29" s="107" t="s">
        <v>52</v>
      </c>
      <c r="B29" s="32" t="s">
        <v>266</v>
      </c>
      <c r="C29" s="18" t="s">
        <v>19</v>
      </c>
      <c r="D29" s="18">
        <v>3</v>
      </c>
      <c r="E29" s="18">
        <v>3850</v>
      </c>
      <c r="F29" s="162"/>
    </row>
    <row r="30" spans="1:6" ht="15.75" customHeight="1" x14ac:dyDescent="0.2">
      <c r="A30" s="107" t="s">
        <v>52</v>
      </c>
      <c r="B30" s="32" t="s">
        <v>267</v>
      </c>
      <c r="C30" s="18" t="s">
        <v>19</v>
      </c>
      <c r="D30" s="18">
        <v>4</v>
      </c>
      <c r="E30" s="18">
        <v>3100</v>
      </c>
      <c r="F30" s="162"/>
    </row>
    <row r="31" spans="1:6" ht="15.75" customHeight="1" x14ac:dyDescent="0.2">
      <c r="A31" s="107" t="s">
        <v>52</v>
      </c>
      <c r="B31" s="32" t="s">
        <v>268</v>
      </c>
      <c r="C31" s="18" t="s">
        <v>19</v>
      </c>
      <c r="D31" s="18">
        <v>2</v>
      </c>
      <c r="E31" s="18">
        <v>1900</v>
      </c>
      <c r="F31" s="162"/>
    </row>
    <row r="32" spans="1:6" ht="15.75" customHeight="1" x14ac:dyDescent="0.2">
      <c r="A32" s="107" t="s">
        <v>52</v>
      </c>
      <c r="B32" s="32" t="s">
        <v>269</v>
      </c>
      <c r="C32" s="18" t="s">
        <v>19</v>
      </c>
      <c r="D32" s="18">
        <v>6</v>
      </c>
      <c r="E32" s="18">
        <v>6400</v>
      </c>
      <c r="F32" s="162"/>
    </row>
    <row r="33" spans="1:6" ht="15.75" customHeight="1" x14ac:dyDescent="0.2">
      <c r="A33" s="107" t="s">
        <v>52</v>
      </c>
      <c r="B33" s="32" t="s">
        <v>270</v>
      </c>
      <c r="C33" s="23" t="s">
        <v>19</v>
      </c>
      <c r="D33" s="23">
        <v>4</v>
      </c>
      <c r="E33" s="23">
        <v>3100</v>
      </c>
      <c r="F33" s="163"/>
    </row>
    <row r="34" spans="1:6" ht="15.75" customHeight="1" x14ac:dyDescent="0.2">
      <c r="A34" s="77"/>
      <c r="B34" s="99" t="s">
        <v>58</v>
      </c>
      <c r="C34" s="41"/>
      <c r="D34" s="44"/>
      <c r="E34" s="43">
        <f>SUM(E7:E33)</f>
        <v>104739.46671856973</v>
      </c>
    </row>
    <row r="35" spans="1:6" ht="15.75" customHeight="1" x14ac:dyDescent="0.2">
      <c r="B35" s="85"/>
      <c r="C35" s="178"/>
      <c r="D35" s="155"/>
      <c r="E35" s="155"/>
      <c r="F35" s="108"/>
    </row>
    <row r="36" spans="1:6" ht="15.75" customHeight="1" x14ac:dyDescent="0.2">
      <c r="B36" s="2" t="s">
        <v>59</v>
      </c>
      <c r="C36" s="154" t="s">
        <v>60</v>
      </c>
      <c r="D36" s="155"/>
      <c r="E36" s="156"/>
      <c r="F36" s="46" t="s">
        <v>61</v>
      </c>
    </row>
    <row r="37" spans="1:6" ht="21" customHeight="1" x14ac:dyDescent="0.2">
      <c r="A37" s="47" t="s">
        <v>62</v>
      </c>
      <c r="B37" s="48" t="s">
        <v>63</v>
      </c>
      <c r="C37" s="157" t="s">
        <v>64</v>
      </c>
      <c r="D37" s="158"/>
      <c r="E37" s="159"/>
      <c r="F37" s="50">
        <v>45658</v>
      </c>
    </row>
    <row r="38" spans="1:6" ht="21" customHeight="1" x14ac:dyDescent="0.2">
      <c r="A38" s="47" t="s">
        <v>62</v>
      </c>
      <c r="B38" s="48" t="s">
        <v>65</v>
      </c>
      <c r="C38" s="160" t="s">
        <v>66</v>
      </c>
      <c r="D38" s="158"/>
      <c r="E38" s="159"/>
      <c r="F38" s="50">
        <v>45658</v>
      </c>
    </row>
    <row r="39" spans="1:6" ht="21" customHeight="1" x14ac:dyDescent="0.2">
      <c r="A39" s="52" t="s">
        <v>67</v>
      </c>
      <c r="B39" s="53" t="s">
        <v>68</v>
      </c>
      <c r="C39" s="151" t="s">
        <v>69</v>
      </c>
      <c r="D39" s="152"/>
      <c r="E39" s="153"/>
      <c r="F39" s="88">
        <v>45658</v>
      </c>
    </row>
    <row r="40" spans="1:6" ht="15.75" customHeight="1" x14ac:dyDescent="0.2">
      <c r="D40" s="45"/>
      <c r="E40" s="35"/>
      <c r="F40" s="35"/>
    </row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3">
    <mergeCell ref="A1:A3"/>
    <mergeCell ref="F5:F16"/>
    <mergeCell ref="F17:F21"/>
    <mergeCell ref="F22:F27"/>
    <mergeCell ref="B1:E1"/>
    <mergeCell ref="B2:E2"/>
    <mergeCell ref="B3:E3"/>
    <mergeCell ref="F28:F33"/>
    <mergeCell ref="C37:E37"/>
    <mergeCell ref="C38:E38"/>
    <mergeCell ref="C39:E39"/>
    <mergeCell ref="C35:E35"/>
    <mergeCell ref="C36:E36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00"/>
  <sheetViews>
    <sheetView workbookViewId="0"/>
  </sheetViews>
  <sheetFormatPr defaultColWidth="14.390625" defaultRowHeight="15" customHeight="1" x14ac:dyDescent="0.2"/>
  <cols>
    <col min="1" max="1" width="26.23046875" customWidth="1"/>
    <col min="2" max="2" width="53.80859375" customWidth="1"/>
    <col min="3" max="3" width="17.62109375" customWidth="1"/>
    <col min="4" max="5" width="11.43359375" customWidth="1"/>
    <col min="6" max="6" width="15.73828125" customWidth="1"/>
    <col min="7" max="7" width="4.3046875" customWidth="1"/>
    <col min="8" max="11" width="10.76171875" customWidth="1"/>
  </cols>
  <sheetData>
    <row r="1" spans="1:8" ht="30.75" customHeight="1" x14ac:dyDescent="0.2">
      <c r="A1" s="169"/>
      <c r="B1" s="170" t="s">
        <v>0</v>
      </c>
      <c r="C1" s="171"/>
      <c r="D1" s="171"/>
      <c r="E1" s="171"/>
      <c r="F1" s="2" t="s">
        <v>1</v>
      </c>
    </row>
    <row r="2" spans="1:8" ht="30.75" customHeight="1" x14ac:dyDescent="0.2">
      <c r="A2" s="162"/>
      <c r="B2" s="170" t="s">
        <v>3</v>
      </c>
      <c r="C2" s="171"/>
      <c r="D2" s="171"/>
      <c r="E2" s="171"/>
      <c r="F2" s="2" t="s">
        <v>4</v>
      </c>
    </row>
    <row r="3" spans="1:8" ht="30.75" customHeight="1" x14ac:dyDescent="0.2">
      <c r="A3" s="163"/>
      <c r="B3" s="170" t="s">
        <v>70</v>
      </c>
      <c r="C3" s="171"/>
      <c r="D3" s="171"/>
      <c r="E3" s="171"/>
      <c r="F3" s="4">
        <v>46268</v>
      </c>
    </row>
    <row r="4" spans="1:8" x14ac:dyDescent="0.2">
      <c r="A4" s="5" t="s">
        <v>271</v>
      </c>
      <c r="B4" s="7" t="s">
        <v>231</v>
      </c>
      <c r="C4" s="7" t="s">
        <v>72</v>
      </c>
      <c r="D4" s="7" t="s">
        <v>9</v>
      </c>
      <c r="E4" s="7" t="s">
        <v>10</v>
      </c>
      <c r="F4" s="7" t="s">
        <v>11</v>
      </c>
      <c r="H4" s="89"/>
    </row>
    <row r="5" spans="1:8" ht="15" customHeight="1" x14ac:dyDescent="0.2">
      <c r="A5" s="8" t="s">
        <v>272</v>
      </c>
      <c r="B5" s="109" t="s">
        <v>273</v>
      </c>
      <c r="C5" s="110"/>
      <c r="D5" s="110"/>
      <c r="E5" s="110"/>
      <c r="F5" s="173" t="s">
        <v>274</v>
      </c>
    </row>
    <row r="6" spans="1:8" x14ac:dyDescent="0.2">
      <c r="A6" s="8" t="s">
        <v>14</v>
      </c>
      <c r="B6" s="33" t="s">
        <v>138</v>
      </c>
      <c r="C6" s="58"/>
      <c r="D6" s="58"/>
      <c r="E6" s="102"/>
      <c r="F6" s="162"/>
    </row>
    <row r="7" spans="1:8" x14ac:dyDescent="0.2">
      <c r="A7" s="111" t="s">
        <v>275</v>
      </c>
      <c r="B7" s="112" t="s">
        <v>276</v>
      </c>
      <c r="C7" s="18" t="s">
        <v>19</v>
      </c>
      <c r="D7" s="18">
        <v>17</v>
      </c>
      <c r="E7" s="18">
        <v>17880.579102084448</v>
      </c>
      <c r="F7" s="162"/>
    </row>
    <row r="8" spans="1:8" x14ac:dyDescent="0.2">
      <c r="A8" s="111" t="s">
        <v>275</v>
      </c>
      <c r="B8" s="112" t="s">
        <v>277</v>
      </c>
      <c r="C8" s="18" t="s">
        <v>19</v>
      </c>
      <c r="D8" s="18">
        <v>16</v>
      </c>
      <c r="E8" s="18">
        <v>16828.780331373597</v>
      </c>
      <c r="F8" s="162"/>
    </row>
    <row r="9" spans="1:8" x14ac:dyDescent="0.2">
      <c r="A9" s="111" t="s">
        <v>278</v>
      </c>
      <c r="B9" s="112" t="s">
        <v>279</v>
      </c>
      <c r="C9" s="18" t="s">
        <v>19</v>
      </c>
      <c r="D9" s="18">
        <v>5</v>
      </c>
      <c r="E9" s="18">
        <v>5258.9938535542487</v>
      </c>
      <c r="F9" s="162"/>
    </row>
    <row r="10" spans="1:8" x14ac:dyDescent="0.2">
      <c r="A10" s="111" t="s">
        <v>278</v>
      </c>
      <c r="B10" s="112" t="s">
        <v>22</v>
      </c>
      <c r="C10" s="18" t="s">
        <v>19</v>
      </c>
      <c r="D10" s="18">
        <v>1</v>
      </c>
      <c r="E10" s="18">
        <v>1051.7987707108498</v>
      </c>
      <c r="F10" s="162"/>
    </row>
    <row r="11" spans="1:8" x14ac:dyDescent="0.2">
      <c r="A11" s="111" t="s">
        <v>278</v>
      </c>
      <c r="B11" s="112" t="s">
        <v>280</v>
      </c>
      <c r="C11" s="18" t="s">
        <v>19</v>
      </c>
      <c r="D11" s="18">
        <v>14</v>
      </c>
      <c r="E11" s="18">
        <v>9800</v>
      </c>
      <c r="F11" s="162"/>
    </row>
    <row r="12" spans="1:8" x14ac:dyDescent="0.2">
      <c r="A12" s="111" t="s">
        <v>278</v>
      </c>
      <c r="B12" s="112" t="s">
        <v>281</v>
      </c>
      <c r="C12" s="18" t="s">
        <v>19</v>
      </c>
      <c r="D12" s="18">
        <v>4</v>
      </c>
      <c r="E12" s="18">
        <v>4207.1950828433992</v>
      </c>
      <c r="F12" s="162"/>
    </row>
    <row r="13" spans="1:8" x14ac:dyDescent="0.2">
      <c r="A13" s="111" t="s">
        <v>278</v>
      </c>
      <c r="B13" s="112" t="s">
        <v>282</v>
      </c>
      <c r="C13" s="18" t="s">
        <v>19</v>
      </c>
      <c r="D13" s="18">
        <v>2</v>
      </c>
      <c r="E13" s="18">
        <v>2103.5975414216996</v>
      </c>
      <c r="F13" s="163"/>
    </row>
    <row r="14" spans="1:8" x14ac:dyDescent="0.2">
      <c r="A14" s="8" t="s">
        <v>14</v>
      </c>
      <c r="B14" s="33" t="s">
        <v>204</v>
      </c>
      <c r="C14" s="37"/>
      <c r="D14" s="37"/>
      <c r="E14" s="27"/>
      <c r="F14" s="179" t="s">
        <v>283</v>
      </c>
    </row>
    <row r="15" spans="1:8" x14ac:dyDescent="0.2">
      <c r="A15" s="111" t="s">
        <v>52</v>
      </c>
      <c r="B15" s="85" t="s">
        <v>284</v>
      </c>
      <c r="C15" s="18" t="s">
        <v>19</v>
      </c>
      <c r="D15" s="18">
        <v>7</v>
      </c>
      <c r="E15" s="18">
        <v>5318.5913949759497</v>
      </c>
      <c r="F15" s="162"/>
    </row>
    <row r="16" spans="1:8" ht="17.25" customHeight="1" x14ac:dyDescent="0.2">
      <c r="A16" s="111" t="s">
        <v>52</v>
      </c>
      <c r="B16" s="112" t="s">
        <v>285</v>
      </c>
      <c r="C16" s="18" t="s">
        <v>19</v>
      </c>
      <c r="D16" s="18">
        <v>6</v>
      </c>
      <c r="E16" s="18">
        <v>3600</v>
      </c>
      <c r="F16" s="162"/>
    </row>
    <row r="17" spans="1:6" ht="17.25" customHeight="1" x14ac:dyDescent="0.2">
      <c r="A17" s="111" t="s">
        <v>52</v>
      </c>
      <c r="B17" s="112" t="s">
        <v>286</v>
      </c>
      <c r="C17" s="18" t="s">
        <v>19</v>
      </c>
      <c r="D17" s="18">
        <v>5</v>
      </c>
      <c r="E17" s="18">
        <f>(D17*2.5)*365</f>
        <v>4562.5</v>
      </c>
      <c r="F17" s="162"/>
    </row>
    <row r="18" spans="1:6" x14ac:dyDescent="0.2">
      <c r="A18" s="111" t="s">
        <v>52</v>
      </c>
      <c r="B18" s="86" t="s">
        <v>287</v>
      </c>
      <c r="C18" s="23" t="s">
        <v>19</v>
      </c>
      <c r="D18" s="23">
        <v>4</v>
      </c>
      <c r="E18" s="23">
        <v>240</v>
      </c>
      <c r="F18" s="163"/>
    </row>
    <row r="19" spans="1:6" ht="15.75" x14ac:dyDescent="0.2">
      <c r="A19" s="8" t="s">
        <v>14</v>
      </c>
      <c r="B19" s="113" t="s">
        <v>149</v>
      </c>
      <c r="C19" s="37"/>
      <c r="D19" s="37"/>
      <c r="E19" s="27"/>
      <c r="F19" s="173" t="s">
        <v>288</v>
      </c>
    </row>
    <row r="20" spans="1:6" x14ac:dyDescent="0.2">
      <c r="A20" s="111" t="s">
        <v>52</v>
      </c>
      <c r="B20" s="85" t="s">
        <v>289</v>
      </c>
      <c r="C20" s="18" t="s">
        <v>19</v>
      </c>
      <c r="D20" s="18">
        <v>11</v>
      </c>
      <c r="E20" s="18">
        <v>11569.786477819347</v>
      </c>
      <c r="F20" s="162"/>
    </row>
    <row r="21" spans="1:6" ht="15.75" customHeight="1" x14ac:dyDescent="0.2">
      <c r="A21" s="111" t="s">
        <v>52</v>
      </c>
      <c r="B21" s="85" t="s">
        <v>290</v>
      </c>
      <c r="C21" s="18" t="s">
        <v>19</v>
      </c>
      <c r="D21" s="18">
        <v>6</v>
      </c>
      <c r="E21" s="18">
        <v>6310.7926242650992</v>
      </c>
      <c r="F21" s="162"/>
    </row>
    <row r="22" spans="1:6" ht="15.75" customHeight="1" x14ac:dyDescent="0.2">
      <c r="A22" s="111" t="s">
        <v>52</v>
      </c>
      <c r="B22" s="85" t="s">
        <v>291</v>
      </c>
      <c r="C22" s="18" t="s">
        <v>19</v>
      </c>
      <c r="D22" s="18">
        <v>3</v>
      </c>
      <c r="E22" s="18">
        <v>3155.3963121325496</v>
      </c>
      <c r="F22" s="162"/>
    </row>
    <row r="23" spans="1:6" ht="15.75" customHeight="1" x14ac:dyDescent="0.2">
      <c r="A23" s="111" t="s">
        <v>52</v>
      </c>
      <c r="B23" s="85" t="s">
        <v>292</v>
      </c>
      <c r="C23" s="18" t="s">
        <v>19</v>
      </c>
      <c r="D23" s="18">
        <v>3</v>
      </c>
      <c r="E23" s="18">
        <v>3155.3963121325496</v>
      </c>
      <c r="F23" s="165"/>
    </row>
    <row r="24" spans="1:6" ht="15.75" customHeight="1" x14ac:dyDescent="0.2">
      <c r="A24" s="114"/>
      <c r="B24" s="33" t="s">
        <v>293</v>
      </c>
      <c r="C24" s="37"/>
      <c r="D24" s="37"/>
      <c r="E24" s="27"/>
      <c r="F24" s="175" t="s">
        <v>294</v>
      </c>
    </row>
    <row r="25" spans="1:6" ht="15.75" customHeight="1" x14ac:dyDescent="0.2">
      <c r="A25" s="111" t="s">
        <v>52</v>
      </c>
      <c r="B25" s="85" t="s">
        <v>295</v>
      </c>
      <c r="C25" s="18" t="s">
        <v>19</v>
      </c>
      <c r="D25" s="18">
        <v>12</v>
      </c>
      <c r="E25" s="18">
        <v>9800</v>
      </c>
      <c r="F25" s="162"/>
    </row>
    <row r="26" spans="1:6" ht="15.75" customHeight="1" x14ac:dyDescent="0.2">
      <c r="A26" s="111" t="s">
        <v>52</v>
      </c>
      <c r="B26" s="85" t="s">
        <v>296</v>
      </c>
      <c r="C26" s="18" t="s">
        <v>19</v>
      </c>
      <c r="D26" s="23">
        <v>8</v>
      </c>
      <c r="E26" s="23">
        <v>8240</v>
      </c>
      <c r="F26" s="163"/>
    </row>
    <row r="27" spans="1:6" ht="15.75" customHeight="1" x14ac:dyDescent="0.2">
      <c r="A27" s="77"/>
      <c r="B27" s="40" t="s">
        <v>58</v>
      </c>
      <c r="C27" s="41"/>
      <c r="D27" s="44"/>
      <c r="E27" s="43">
        <f>+SUM(E5:E26)</f>
        <v>113083.40780331373</v>
      </c>
      <c r="F27" s="44"/>
    </row>
    <row r="28" spans="1:6" ht="15.75" customHeight="1" x14ac:dyDescent="0.2"/>
    <row r="29" spans="1:6" ht="15.75" customHeight="1" x14ac:dyDescent="0.2">
      <c r="B29" s="2" t="s">
        <v>59</v>
      </c>
      <c r="C29" s="154" t="s">
        <v>60</v>
      </c>
      <c r="D29" s="155"/>
      <c r="E29" s="156"/>
      <c r="F29" s="46" t="s">
        <v>61</v>
      </c>
    </row>
    <row r="30" spans="1:6" ht="21" customHeight="1" x14ac:dyDescent="0.2">
      <c r="A30" s="47" t="s">
        <v>62</v>
      </c>
      <c r="B30" s="48" t="s">
        <v>63</v>
      </c>
      <c r="C30" s="157" t="s">
        <v>64</v>
      </c>
      <c r="D30" s="158"/>
      <c r="E30" s="159"/>
      <c r="F30" s="50">
        <v>45658</v>
      </c>
    </row>
    <row r="31" spans="1:6" ht="21" customHeight="1" x14ac:dyDescent="0.2">
      <c r="A31" s="47" t="s">
        <v>62</v>
      </c>
      <c r="B31" s="48" t="s">
        <v>65</v>
      </c>
      <c r="C31" s="160" t="s">
        <v>66</v>
      </c>
      <c r="D31" s="158"/>
      <c r="E31" s="159"/>
      <c r="F31" s="50">
        <v>45658</v>
      </c>
    </row>
    <row r="32" spans="1:6" ht="21" customHeight="1" x14ac:dyDescent="0.2">
      <c r="A32" s="52" t="s">
        <v>67</v>
      </c>
      <c r="B32" s="53" t="s">
        <v>68</v>
      </c>
      <c r="C32" s="151" t="s">
        <v>69</v>
      </c>
      <c r="D32" s="152"/>
      <c r="E32" s="153"/>
      <c r="F32" s="88">
        <v>45658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2">
    <mergeCell ref="A1:A3"/>
    <mergeCell ref="B1:E1"/>
    <mergeCell ref="B2:E2"/>
    <mergeCell ref="B3:E3"/>
    <mergeCell ref="F24:F26"/>
    <mergeCell ref="C29:E29"/>
    <mergeCell ref="C30:E30"/>
    <mergeCell ref="C31:E31"/>
    <mergeCell ref="C32:E32"/>
    <mergeCell ref="F5:F13"/>
    <mergeCell ref="F14:F18"/>
    <mergeCell ref="F19:F23"/>
  </mergeCells>
  <pageMargins left="0.23622047244094491" right="0.23622047244094491" top="0.74803149606299213" bottom="0.74803149606299213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00"/>
  <sheetViews>
    <sheetView workbookViewId="0"/>
  </sheetViews>
  <sheetFormatPr defaultColWidth="14.390625" defaultRowHeight="15" customHeight="1" x14ac:dyDescent="0.2"/>
  <cols>
    <col min="1" max="1" width="27.57421875" customWidth="1"/>
    <col min="2" max="2" width="65.2421875" customWidth="1"/>
    <col min="3" max="3" width="18.16015625" customWidth="1"/>
    <col min="4" max="5" width="11.43359375" customWidth="1"/>
    <col min="6" max="6" width="15.33203125" customWidth="1"/>
    <col min="7" max="7" width="4.5703125" customWidth="1"/>
    <col min="8" max="8" width="18.96484375" customWidth="1"/>
    <col min="9" max="11" width="10.76171875" customWidth="1"/>
  </cols>
  <sheetData>
    <row r="1" spans="1:8" ht="30.75" customHeight="1" x14ac:dyDescent="0.2">
      <c r="A1" s="169"/>
      <c r="B1" s="170" t="s">
        <v>0</v>
      </c>
      <c r="C1" s="171"/>
      <c r="D1" s="171"/>
      <c r="E1" s="171"/>
      <c r="F1" s="2" t="s">
        <v>1</v>
      </c>
    </row>
    <row r="2" spans="1:8" ht="30.75" customHeight="1" x14ac:dyDescent="0.2">
      <c r="A2" s="162"/>
      <c r="B2" s="170" t="s">
        <v>3</v>
      </c>
      <c r="C2" s="171"/>
      <c r="D2" s="171"/>
      <c r="E2" s="171"/>
      <c r="F2" s="2" t="s">
        <v>4</v>
      </c>
    </row>
    <row r="3" spans="1:8" ht="30.75" customHeight="1" x14ac:dyDescent="0.2">
      <c r="A3" s="163"/>
      <c r="B3" s="170" t="s">
        <v>70</v>
      </c>
      <c r="C3" s="171"/>
      <c r="D3" s="171"/>
      <c r="E3" s="171"/>
      <c r="F3" s="4">
        <v>46268</v>
      </c>
    </row>
    <row r="4" spans="1:8" x14ac:dyDescent="0.2">
      <c r="A4" s="5" t="s">
        <v>297</v>
      </c>
      <c r="B4" s="7" t="s">
        <v>231</v>
      </c>
      <c r="C4" s="7" t="s">
        <v>72</v>
      </c>
      <c r="D4" s="7" t="s">
        <v>9</v>
      </c>
      <c r="E4" s="7" t="s">
        <v>10</v>
      </c>
      <c r="F4" s="7" t="s">
        <v>11</v>
      </c>
      <c r="H4" s="89"/>
    </row>
    <row r="5" spans="1:8" ht="21" x14ac:dyDescent="0.3">
      <c r="A5" s="115" t="s">
        <v>272</v>
      </c>
      <c r="B5" s="116" t="s">
        <v>273</v>
      </c>
      <c r="C5" s="58"/>
      <c r="D5" s="58"/>
      <c r="E5" s="37"/>
      <c r="F5" s="173" t="s">
        <v>298</v>
      </c>
    </row>
    <row r="6" spans="1:8" ht="18.75" x14ac:dyDescent="0.25">
      <c r="A6" s="117" t="s">
        <v>299</v>
      </c>
      <c r="B6" s="36" t="s">
        <v>300</v>
      </c>
      <c r="C6" s="58"/>
      <c r="D6" s="58"/>
      <c r="E6" s="27"/>
      <c r="F6" s="162"/>
    </row>
    <row r="7" spans="1:8" x14ac:dyDescent="0.2">
      <c r="A7" s="29" t="s">
        <v>301</v>
      </c>
      <c r="B7" s="32" t="s">
        <v>302</v>
      </c>
      <c r="C7" s="118" t="s">
        <v>19</v>
      </c>
      <c r="D7" s="118">
        <v>8</v>
      </c>
      <c r="E7" s="118">
        <v>7538.3901656867993</v>
      </c>
      <c r="F7" s="162"/>
    </row>
    <row r="8" spans="1:8" x14ac:dyDescent="0.2">
      <c r="A8" s="29" t="s">
        <v>301</v>
      </c>
      <c r="B8" s="32" t="s">
        <v>22</v>
      </c>
      <c r="C8" s="118" t="s">
        <v>19</v>
      </c>
      <c r="D8" s="118">
        <v>11</v>
      </c>
      <c r="E8" s="118">
        <v>10365.286477819351</v>
      </c>
      <c r="F8" s="162"/>
    </row>
    <row r="9" spans="1:8" x14ac:dyDescent="0.2">
      <c r="A9" s="29" t="s">
        <v>303</v>
      </c>
      <c r="B9" s="32" t="s">
        <v>304</v>
      </c>
      <c r="C9" s="118" t="s">
        <v>19</v>
      </c>
      <c r="D9" s="118">
        <v>32</v>
      </c>
      <c r="E9" s="118">
        <v>11314</v>
      </c>
      <c r="F9" s="165"/>
    </row>
    <row r="10" spans="1:8" ht="18.75" x14ac:dyDescent="0.25">
      <c r="A10" s="117" t="s">
        <v>299</v>
      </c>
      <c r="B10" s="33" t="s">
        <v>194</v>
      </c>
      <c r="C10" s="37"/>
      <c r="D10" s="37"/>
      <c r="E10" s="119"/>
      <c r="F10" s="173" t="s">
        <v>305</v>
      </c>
    </row>
    <row r="11" spans="1:8" x14ac:dyDescent="0.2">
      <c r="A11" s="29" t="s">
        <v>306</v>
      </c>
      <c r="B11" s="32" t="s">
        <v>307</v>
      </c>
      <c r="C11" s="18" t="s">
        <v>19</v>
      </c>
      <c r="D11" s="18">
        <v>3</v>
      </c>
      <c r="E11" s="18">
        <v>2169.8963121325501</v>
      </c>
      <c r="F11" s="162"/>
    </row>
    <row r="12" spans="1:8" x14ac:dyDescent="0.2">
      <c r="A12" s="29" t="s">
        <v>306</v>
      </c>
      <c r="B12" s="32" t="s">
        <v>308</v>
      </c>
      <c r="C12" s="18" t="s">
        <v>19</v>
      </c>
      <c r="D12" s="18">
        <v>3</v>
      </c>
      <c r="E12" s="18">
        <v>2169.8963121325501</v>
      </c>
      <c r="F12" s="162"/>
    </row>
    <row r="13" spans="1:8" x14ac:dyDescent="0.2">
      <c r="A13" s="29" t="s">
        <v>306</v>
      </c>
      <c r="B13" s="32" t="s">
        <v>309</v>
      </c>
      <c r="C13" s="18" t="s">
        <v>19</v>
      </c>
      <c r="D13" s="18">
        <v>3</v>
      </c>
      <c r="E13" s="18">
        <v>2169.8963121325501</v>
      </c>
      <c r="F13" s="162"/>
    </row>
    <row r="14" spans="1:8" x14ac:dyDescent="0.2">
      <c r="A14" s="29" t="s">
        <v>306</v>
      </c>
      <c r="B14" s="32" t="s">
        <v>310</v>
      </c>
      <c r="C14" s="118" t="s">
        <v>19</v>
      </c>
      <c r="D14" s="118">
        <v>3</v>
      </c>
      <c r="E14" s="118">
        <v>2169.8963121325501</v>
      </c>
      <c r="F14" s="162"/>
    </row>
    <row r="15" spans="1:8" x14ac:dyDescent="0.2">
      <c r="A15" s="29" t="s">
        <v>306</v>
      </c>
      <c r="B15" s="32" t="s">
        <v>311</v>
      </c>
      <c r="C15" s="118" t="s">
        <v>19</v>
      </c>
      <c r="D15" s="118">
        <v>3</v>
      </c>
      <c r="E15" s="118">
        <v>2169.8963121325501</v>
      </c>
      <c r="F15" s="162"/>
    </row>
    <row r="16" spans="1:8" x14ac:dyDescent="0.2">
      <c r="A16" s="29" t="s">
        <v>306</v>
      </c>
      <c r="B16" s="32" t="s">
        <v>312</v>
      </c>
      <c r="C16" s="18" t="s">
        <v>19</v>
      </c>
      <c r="D16" s="118">
        <v>4</v>
      </c>
      <c r="E16" s="118">
        <v>2893.1950828433992</v>
      </c>
      <c r="F16" s="162"/>
    </row>
    <row r="17" spans="1:6" x14ac:dyDescent="0.2">
      <c r="A17" s="29" t="s">
        <v>306</v>
      </c>
      <c r="B17" s="32" t="s">
        <v>313</v>
      </c>
      <c r="C17" s="18" t="s">
        <v>19</v>
      </c>
      <c r="D17" s="118">
        <v>4</v>
      </c>
      <c r="E17" s="118">
        <v>2893.1950828433992</v>
      </c>
      <c r="F17" s="162"/>
    </row>
    <row r="18" spans="1:6" x14ac:dyDescent="0.2">
      <c r="A18" s="29" t="s">
        <v>306</v>
      </c>
      <c r="B18" s="32" t="s">
        <v>314</v>
      </c>
      <c r="C18" s="118" t="s">
        <v>19</v>
      </c>
      <c r="D18" s="118">
        <v>10</v>
      </c>
      <c r="E18" s="118">
        <v>9223</v>
      </c>
      <c r="F18" s="163"/>
    </row>
    <row r="19" spans="1:6" ht="18.75" x14ac:dyDescent="0.25">
      <c r="A19" s="117" t="s">
        <v>299</v>
      </c>
      <c r="B19" s="120" t="s">
        <v>315</v>
      </c>
      <c r="C19" s="120"/>
      <c r="D19" s="58"/>
      <c r="E19" s="27"/>
      <c r="F19" s="179" t="s">
        <v>316</v>
      </c>
    </row>
    <row r="20" spans="1:6" x14ac:dyDescent="0.2">
      <c r="A20" s="29" t="s">
        <v>235</v>
      </c>
      <c r="B20" s="85" t="s">
        <v>317</v>
      </c>
      <c r="C20" s="18" t="s">
        <v>19</v>
      </c>
      <c r="D20" s="118">
        <v>4</v>
      </c>
      <c r="E20" s="118">
        <v>2893.1950828433992</v>
      </c>
      <c r="F20" s="162"/>
    </row>
    <row r="21" spans="1:6" ht="15.75" customHeight="1" x14ac:dyDescent="0.2">
      <c r="A21" s="29" t="s">
        <v>235</v>
      </c>
      <c r="B21" s="85" t="s">
        <v>318</v>
      </c>
      <c r="C21" s="18" t="s">
        <v>19</v>
      </c>
      <c r="D21" s="118">
        <v>2</v>
      </c>
      <c r="E21" s="118">
        <v>1824</v>
      </c>
      <c r="F21" s="162"/>
    </row>
    <row r="22" spans="1:6" ht="15.75" customHeight="1" x14ac:dyDescent="0.2">
      <c r="A22" s="29" t="s">
        <v>235</v>
      </c>
      <c r="B22" s="85" t="s">
        <v>319</v>
      </c>
      <c r="C22" s="18" t="s">
        <v>19</v>
      </c>
      <c r="D22" s="118">
        <v>4</v>
      </c>
      <c r="E22" s="118">
        <v>2893.1950828433992</v>
      </c>
      <c r="F22" s="162"/>
    </row>
    <row r="23" spans="1:6" ht="15.75" customHeight="1" x14ac:dyDescent="0.2">
      <c r="A23" s="29" t="s">
        <v>235</v>
      </c>
      <c r="B23" s="85" t="s">
        <v>320</v>
      </c>
      <c r="C23" s="18" t="s">
        <v>19</v>
      </c>
      <c r="D23" s="118">
        <v>6</v>
      </c>
      <c r="E23" s="118">
        <v>8200</v>
      </c>
      <c r="F23" s="162"/>
    </row>
    <row r="24" spans="1:6" ht="15.75" customHeight="1" x14ac:dyDescent="0.2">
      <c r="A24" s="77"/>
      <c r="B24" s="40" t="s">
        <v>58</v>
      </c>
      <c r="C24" s="41"/>
      <c r="D24" s="44"/>
      <c r="E24" s="43">
        <f>+SUM(E5:E23)</f>
        <v>70886.938535542489</v>
      </c>
      <c r="F24" s="163"/>
    </row>
    <row r="25" spans="1:6" ht="15.75" customHeight="1" x14ac:dyDescent="0.2"/>
    <row r="26" spans="1:6" ht="27.75" customHeight="1" x14ac:dyDescent="0.2">
      <c r="B26" s="2" t="s">
        <v>59</v>
      </c>
      <c r="C26" s="154" t="s">
        <v>60</v>
      </c>
      <c r="D26" s="155"/>
      <c r="E26" s="156"/>
      <c r="F26" s="46" t="s">
        <v>61</v>
      </c>
    </row>
    <row r="27" spans="1:6" ht="27.75" customHeight="1" x14ac:dyDescent="0.2">
      <c r="A27" s="47" t="s">
        <v>62</v>
      </c>
      <c r="B27" s="48" t="s">
        <v>63</v>
      </c>
      <c r="C27" s="157" t="s">
        <v>64</v>
      </c>
      <c r="D27" s="158"/>
      <c r="E27" s="159"/>
      <c r="F27" s="50">
        <v>45658</v>
      </c>
    </row>
    <row r="28" spans="1:6" ht="27.75" customHeight="1" x14ac:dyDescent="0.2">
      <c r="A28" s="47" t="s">
        <v>62</v>
      </c>
      <c r="B28" s="48" t="s">
        <v>65</v>
      </c>
      <c r="C28" s="160" t="s">
        <v>66</v>
      </c>
      <c r="D28" s="158"/>
      <c r="E28" s="159"/>
      <c r="F28" s="50">
        <v>45658</v>
      </c>
    </row>
    <row r="29" spans="1:6" ht="27.75" customHeight="1" x14ac:dyDescent="0.2">
      <c r="A29" s="52" t="s">
        <v>67</v>
      </c>
      <c r="B29" s="53" t="s">
        <v>68</v>
      </c>
      <c r="C29" s="151" t="s">
        <v>69</v>
      </c>
      <c r="D29" s="152"/>
      <c r="E29" s="153"/>
      <c r="F29" s="88">
        <v>45658</v>
      </c>
    </row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1">
    <mergeCell ref="C28:E28"/>
    <mergeCell ref="C29:E29"/>
    <mergeCell ref="A1:A3"/>
    <mergeCell ref="B3:E3"/>
    <mergeCell ref="B1:E1"/>
    <mergeCell ref="B2:E2"/>
    <mergeCell ref="C27:E27"/>
    <mergeCell ref="C26:E26"/>
    <mergeCell ref="F5:F9"/>
    <mergeCell ref="F10:F18"/>
    <mergeCell ref="F19:F24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00"/>
  <sheetViews>
    <sheetView workbookViewId="0"/>
  </sheetViews>
  <sheetFormatPr defaultColWidth="14.390625" defaultRowHeight="15" customHeight="1" x14ac:dyDescent="0.2"/>
  <cols>
    <col min="1" max="1" width="26.23046875" customWidth="1"/>
    <col min="2" max="2" width="70.21875" customWidth="1"/>
    <col min="3" max="3" width="17.62109375" customWidth="1"/>
    <col min="4" max="4" width="11.43359375" customWidth="1"/>
    <col min="5" max="5" width="15.19921875" customWidth="1"/>
    <col min="6" max="6" width="14.390625" customWidth="1"/>
    <col min="7" max="7" width="4.03515625" customWidth="1"/>
    <col min="8" max="8" width="19.37109375" customWidth="1"/>
    <col min="9" max="9" width="19.63671875" customWidth="1"/>
    <col min="10" max="10" width="7.93359375" customWidth="1"/>
    <col min="11" max="11" width="10.76171875" customWidth="1"/>
    <col min="12" max="12" width="17.08203125" customWidth="1"/>
  </cols>
  <sheetData>
    <row r="1" spans="1:12" ht="30.75" customHeight="1" x14ac:dyDescent="0.2">
      <c r="A1" s="169"/>
      <c r="B1" s="170" t="s">
        <v>0</v>
      </c>
      <c r="C1" s="171"/>
      <c r="D1" s="171"/>
      <c r="E1" s="171"/>
      <c r="F1" s="2" t="s">
        <v>1</v>
      </c>
    </row>
    <row r="2" spans="1:12" ht="30.75" customHeight="1" x14ac:dyDescent="0.2">
      <c r="A2" s="162"/>
      <c r="B2" s="170" t="s">
        <v>3</v>
      </c>
      <c r="C2" s="171"/>
      <c r="D2" s="171"/>
      <c r="E2" s="171"/>
      <c r="F2" s="2" t="s">
        <v>4</v>
      </c>
    </row>
    <row r="3" spans="1:12" ht="30.75" customHeight="1" x14ac:dyDescent="0.2">
      <c r="A3" s="163"/>
      <c r="B3" s="170" t="s">
        <v>321</v>
      </c>
      <c r="C3" s="171"/>
      <c r="D3" s="171"/>
      <c r="E3" s="171"/>
      <c r="F3" s="4">
        <v>44197</v>
      </c>
    </row>
    <row r="4" spans="1:12" ht="15.75" customHeight="1" x14ac:dyDescent="0.2">
      <c r="A4" s="5" t="s">
        <v>322</v>
      </c>
      <c r="B4" s="7" t="s">
        <v>231</v>
      </c>
      <c r="C4" s="7" t="s">
        <v>72</v>
      </c>
      <c r="D4" s="7" t="s">
        <v>9</v>
      </c>
      <c r="E4" s="7" t="s">
        <v>10</v>
      </c>
      <c r="F4" s="7" t="s">
        <v>11</v>
      </c>
      <c r="H4" s="89"/>
    </row>
    <row r="5" spans="1:12" ht="15.75" customHeight="1" x14ac:dyDescent="0.2">
      <c r="A5" s="8" t="s">
        <v>73</v>
      </c>
      <c r="B5" s="121" t="s">
        <v>273</v>
      </c>
      <c r="C5" s="110"/>
      <c r="D5" s="110"/>
      <c r="E5" s="110"/>
      <c r="F5" s="7"/>
      <c r="H5" s="89"/>
    </row>
    <row r="6" spans="1:12" x14ac:dyDescent="0.2">
      <c r="A6" s="8" t="s">
        <v>299</v>
      </c>
      <c r="B6" s="122" t="s">
        <v>323</v>
      </c>
      <c r="C6" s="110"/>
      <c r="D6" s="110"/>
      <c r="E6" s="110"/>
      <c r="F6" s="173" t="s">
        <v>324</v>
      </c>
    </row>
    <row r="7" spans="1:12" x14ac:dyDescent="0.2">
      <c r="A7" s="75" t="s">
        <v>325</v>
      </c>
      <c r="B7" s="123" t="s">
        <v>326</v>
      </c>
      <c r="C7" s="124" t="s">
        <v>19</v>
      </c>
      <c r="D7" s="74">
        <v>18</v>
      </c>
      <c r="E7" s="74">
        <v>13676.377872795296</v>
      </c>
      <c r="F7" s="162"/>
      <c r="J7" s="125"/>
      <c r="K7" s="126"/>
    </row>
    <row r="8" spans="1:12" x14ac:dyDescent="0.2">
      <c r="A8" s="75" t="s">
        <v>325</v>
      </c>
      <c r="B8" s="112" t="s">
        <v>327</v>
      </c>
      <c r="C8" s="127" t="s">
        <v>19</v>
      </c>
      <c r="D8" s="18">
        <v>5</v>
      </c>
      <c r="E8" s="18">
        <v>3798.9938535542492</v>
      </c>
      <c r="F8" s="162"/>
      <c r="J8" s="125"/>
      <c r="K8" s="126"/>
    </row>
    <row r="9" spans="1:12" x14ac:dyDescent="0.2">
      <c r="A9" s="75" t="s">
        <v>325</v>
      </c>
      <c r="B9" s="112" t="s">
        <v>328</v>
      </c>
      <c r="C9" s="127" t="s">
        <v>19</v>
      </c>
      <c r="D9" s="18">
        <v>6</v>
      </c>
      <c r="E9" s="18">
        <v>4558.7926242650992</v>
      </c>
      <c r="F9" s="162"/>
      <c r="J9" s="125"/>
      <c r="K9" s="126"/>
    </row>
    <row r="10" spans="1:12" x14ac:dyDescent="0.2">
      <c r="A10" s="75" t="s">
        <v>301</v>
      </c>
      <c r="B10" s="112" t="s">
        <v>329</v>
      </c>
      <c r="C10" s="127" t="s">
        <v>330</v>
      </c>
      <c r="D10" s="18">
        <v>2</v>
      </c>
      <c r="E10" s="18">
        <v>216.65116279069764</v>
      </c>
      <c r="F10" s="162"/>
      <c r="H10" s="125"/>
      <c r="I10" s="125"/>
      <c r="J10" s="125"/>
      <c r="K10" s="126"/>
      <c r="L10" s="125"/>
    </row>
    <row r="11" spans="1:12" x14ac:dyDescent="0.2">
      <c r="A11" s="75" t="s">
        <v>325</v>
      </c>
      <c r="B11" s="112" t="s">
        <v>331</v>
      </c>
      <c r="C11" s="127" t="s">
        <v>19</v>
      </c>
      <c r="D11" s="18">
        <v>5</v>
      </c>
      <c r="E11" s="18">
        <v>3798.9938535542501</v>
      </c>
      <c r="F11" s="162"/>
      <c r="H11" s="125"/>
      <c r="I11" s="125"/>
      <c r="J11" s="125"/>
      <c r="K11" s="126"/>
      <c r="L11" s="125"/>
    </row>
    <row r="12" spans="1:12" x14ac:dyDescent="0.2">
      <c r="A12" s="75" t="s">
        <v>325</v>
      </c>
      <c r="B12" s="112" t="s">
        <v>332</v>
      </c>
      <c r="C12" s="127" t="s">
        <v>132</v>
      </c>
      <c r="D12" s="18">
        <v>2</v>
      </c>
      <c r="E12" s="18">
        <v>1649.8</v>
      </c>
      <c r="F12" s="162"/>
      <c r="H12" s="125"/>
      <c r="I12" s="125"/>
      <c r="J12" s="125"/>
      <c r="K12" s="126"/>
      <c r="L12" s="125"/>
    </row>
    <row r="13" spans="1:12" x14ac:dyDescent="0.2">
      <c r="A13" s="128"/>
      <c r="B13" s="40" t="s">
        <v>58</v>
      </c>
      <c r="C13" s="41"/>
      <c r="D13" s="44"/>
      <c r="E13" s="43">
        <f>SUM(E7:E12)</f>
        <v>27699.60936695959</v>
      </c>
      <c r="F13" s="163"/>
    </row>
    <row r="14" spans="1:12" x14ac:dyDescent="0.2">
      <c r="A14" s="129"/>
    </row>
    <row r="15" spans="1:12" ht="27.75" customHeight="1" x14ac:dyDescent="0.2">
      <c r="B15" s="2" t="s">
        <v>59</v>
      </c>
      <c r="C15" s="154" t="s">
        <v>60</v>
      </c>
      <c r="D15" s="155"/>
      <c r="E15" s="156"/>
      <c r="F15" s="46" t="s">
        <v>61</v>
      </c>
    </row>
    <row r="16" spans="1:12" ht="27.75" customHeight="1" x14ac:dyDescent="0.2">
      <c r="A16" s="47" t="s">
        <v>62</v>
      </c>
      <c r="B16" s="48" t="s">
        <v>63</v>
      </c>
      <c r="C16" s="157" t="s">
        <v>64</v>
      </c>
      <c r="D16" s="158"/>
      <c r="E16" s="159"/>
      <c r="F16" s="50">
        <v>44197</v>
      </c>
    </row>
    <row r="17" spans="1:6" ht="27.75" customHeight="1" x14ac:dyDescent="0.2">
      <c r="A17" s="47" t="s">
        <v>62</v>
      </c>
      <c r="B17" s="48" t="s">
        <v>65</v>
      </c>
      <c r="C17" s="160" t="s">
        <v>66</v>
      </c>
      <c r="D17" s="158"/>
      <c r="E17" s="159"/>
      <c r="F17" s="50">
        <v>44197</v>
      </c>
    </row>
    <row r="18" spans="1:6" ht="27.75" customHeight="1" x14ac:dyDescent="0.2">
      <c r="A18" s="52" t="s">
        <v>67</v>
      </c>
      <c r="B18" s="53" t="s">
        <v>68</v>
      </c>
      <c r="C18" s="151" t="s">
        <v>69</v>
      </c>
      <c r="D18" s="152"/>
      <c r="E18" s="153"/>
      <c r="F18" s="88">
        <v>44197</v>
      </c>
    </row>
    <row r="19" spans="1:6" hidden="1" x14ac:dyDescent="0.2">
      <c r="A19" s="29" t="s">
        <v>333</v>
      </c>
      <c r="B19" s="32"/>
      <c r="C19" s="18" t="s">
        <v>19</v>
      </c>
      <c r="D19" s="18"/>
      <c r="E19" s="18" t="s">
        <v>334</v>
      </c>
      <c r="F19" s="179"/>
    </row>
    <row r="20" spans="1:6" hidden="1" x14ac:dyDescent="0.2">
      <c r="A20" s="29" t="s">
        <v>333</v>
      </c>
      <c r="B20" s="32"/>
      <c r="C20" s="18" t="s">
        <v>19</v>
      </c>
      <c r="D20" s="18"/>
      <c r="E20" s="18" t="s">
        <v>334</v>
      </c>
      <c r="F20" s="162"/>
    </row>
    <row r="21" spans="1:6" ht="15.75" hidden="1" customHeight="1" x14ac:dyDescent="0.2">
      <c r="A21" s="29" t="s">
        <v>333</v>
      </c>
      <c r="B21" s="32"/>
      <c r="C21" s="18" t="s">
        <v>19</v>
      </c>
      <c r="D21" s="18"/>
      <c r="E21" s="18" t="s">
        <v>334</v>
      </c>
      <c r="F21" s="162"/>
    </row>
    <row r="22" spans="1:6" ht="15.75" hidden="1" customHeight="1" x14ac:dyDescent="0.2">
      <c r="A22" s="77" t="s">
        <v>333</v>
      </c>
      <c r="B22" s="39"/>
      <c r="C22" s="23" t="s">
        <v>19</v>
      </c>
      <c r="D22" s="23"/>
      <c r="E22" s="23" t="s">
        <v>334</v>
      </c>
      <c r="F22" s="163"/>
    </row>
    <row r="23" spans="1:6" ht="15.75" hidden="1" customHeight="1" x14ac:dyDescent="0.2"/>
    <row r="24" spans="1:6" ht="15.75" hidden="1" customHeight="1" x14ac:dyDescent="0.2">
      <c r="A24" s="60"/>
      <c r="B24" s="130" t="s">
        <v>335</v>
      </c>
      <c r="C24" s="74"/>
      <c r="D24" s="74"/>
      <c r="E24" s="74"/>
      <c r="F24" s="173" t="s">
        <v>336</v>
      </c>
    </row>
    <row r="25" spans="1:6" ht="15.75" hidden="1" customHeight="1" x14ac:dyDescent="0.2">
      <c r="A25" s="29" t="s">
        <v>333</v>
      </c>
      <c r="B25" s="32"/>
      <c r="C25" s="18" t="s">
        <v>19</v>
      </c>
      <c r="D25" s="18"/>
      <c r="E25" s="18" t="s">
        <v>334</v>
      </c>
      <c r="F25" s="162"/>
    </row>
    <row r="26" spans="1:6" ht="15.75" hidden="1" customHeight="1" x14ac:dyDescent="0.2">
      <c r="A26" s="29" t="s">
        <v>333</v>
      </c>
      <c r="B26" s="32"/>
      <c r="C26" s="18" t="s">
        <v>19</v>
      </c>
      <c r="D26" s="18"/>
      <c r="E26" s="18" t="s">
        <v>334</v>
      </c>
      <c r="F26" s="162"/>
    </row>
    <row r="27" spans="1:6" ht="15.75" hidden="1" customHeight="1" x14ac:dyDescent="0.2">
      <c r="A27" s="29" t="s">
        <v>333</v>
      </c>
      <c r="B27" s="32"/>
      <c r="C27" s="18" t="s">
        <v>19</v>
      </c>
      <c r="D27" s="18"/>
      <c r="E27" s="18" t="s">
        <v>334</v>
      </c>
      <c r="F27" s="162"/>
    </row>
    <row r="28" spans="1:6" ht="15.75" hidden="1" customHeight="1" x14ac:dyDescent="0.2">
      <c r="A28" s="77" t="s">
        <v>333</v>
      </c>
      <c r="B28" s="39"/>
      <c r="C28" s="23" t="s">
        <v>19</v>
      </c>
      <c r="D28" s="23"/>
      <c r="E28" s="23" t="s">
        <v>334</v>
      </c>
      <c r="F28" s="163"/>
    </row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1">
    <mergeCell ref="F19:F22"/>
    <mergeCell ref="F24:F28"/>
    <mergeCell ref="A1:A3"/>
    <mergeCell ref="B1:E1"/>
    <mergeCell ref="B2:E2"/>
    <mergeCell ref="B3:E3"/>
    <mergeCell ref="C15:E15"/>
    <mergeCell ref="C16:E16"/>
    <mergeCell ref="C17:E17"/>
    <mergeCell ref="C18:E18"/>
    <mergeCell ref="F6:F13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00"/>
  <sheetViews>
    <sheetView workbookViewId="0"/>
  </sheetViews>
  <sheetFormatPr defaultColWidth="14.390625" defaultRowHeight="15" customHeight="1" x14ac:dyDescent="0.2"/>
  <cols>
    <col min="1" max="1" width="28.11328125" customWidth="1"/>
    <col min="2" max="2" width="68.73828125" customWidth="1"/>
    <col min="3" max="3" width="16.6796875" customWidth="1"/>
    <col min="4" max="5" width="11.43359375" customWidth="1"/>
    <col min="6" max="6" width="14.390625" customWidth="1"/>
    <col min="7" max="11" width="10.76171875" customWidth="1"/>
  </cols>
  <sheetData>
    <row r="1" spans="1:7" ht="30.75" customHeight="1" x14ac:dyDescent="0.2">
      <c r="A1" s="169"/>
      <c r="B1" s="170" t="s">
        <v>0</v>
      </c>
      <c r="C1" s="171"/>
      <c r="D1" s="171"/>
      <c r="E1" s="171"/>
      <c r="F1" s="2" t="s">
        <v>1</v>
      </c>
    </row>
    <row r="2" spans="1:7" ht="30.75" customHeight="1" x14ac:dyDescent="0.2">
      <c r="A2" s="162"/>
      <c r="B2" s="170" t="s">
        <v>3</v>
      </c>
      <c r="C2" s="171"/>
      <c r="D2" s="171"/>
      <c r="E2" s="171"/>
      <c r="F2" s="2" t="s">
        <v>4</v>
      </c>
    </row>
    <row r="3" spans="1:7" ht="30.75" customHeight="1" x14ac:dyDescent="0.2">
      <c r="A3" s="163"/>
      <c r="B3" s="170" t="s">
        <v>70</v>
      </c>
      <c r="C3" s="171"/>
      <c r="D3" s="171"/>
      <c r="E3" s="171"/>
      <c r="F3" s="4">
        <v>46268</v>
      </c>
    </row>
    <row r="4" spans="1:7" x14ac:dyDescent="0.2">
      <c r="A4" s="5" t="s">
        <v>337</v>
      </c>
      <c r="B4" s="7" t="s">
        <v>231</v>
      </c>
      <c r="C4" s="7" t="s">
        <v>72</v>
      </c>
      <c r="D4" s="7" t="s">
        <v>9</v>
      </c>
      <c r="E4" s="7" t="s">
        <v>10</v>
      </c>
      <c r="F4" s="7" t="s">
        <v>11</v>
      </c>
      <c r="G4" s="89"/>
    </row>
    <row r="5" spans="1:7" ht="16.5" customHeight="1" x14ac:dyDescent="0.2">
      <c r="A5" s="115" t="s">
        <v>272</v>
      </c>
      <c r="B5" s="131" t="s">
        <v>338</v>
      </c>
      <c r="C5" s="132"/>
      <c r="D5" s="132"/>
      <c r="E5" s="132"/>
      <c r="F5" s="133"/>
    </row>
    <row r="6" spans="1:7" ht="15.75" x14ac:dyDescent="0.2">
      <c r="A6" s="8" t="s">
        <v>299</v>
      </c>
      <c r="B6" s="36" t="s">
        <v>339</v>
      </c>
      <c r="C6" s="37"/>
      <c r="D6" s="37"/>
      <c r="E6" s="37"/>
      <c r="F6" s="134"/>
    </row>
    <row r="7" spans="1:7" x14ac:dyDescent="0.2">
      <c r="A7" s="60"/>
      <c r="B7" s="135"/>
      <c r="C7" s="74"/>
      <c r="D7" s="74"/>
      <c r="E7" s="69"/>
      <c r="F7" s="173" t="s">
        <v>340</v>
      </c>
    </row>
    <row r="8" spans="1:7" x14ac:dyDescent="0.2">
      <c r="A8" s="29" t="s">
        <v>341</v>
      </c>
      <c r="B8" s="32" t="s">
        <v>342</v>
      </c>
      <c r="C8" s="45" t="s">
        <v>19</v>
      </c>
      <c r="D8" s="18">
        <v>2</v>
      </c>
      <c r="E8" s="71">
        <v>2000</v>
      </c>
      <c r="F8" s="162"/>
    </row>
    <row r="9" spans="1:7" x14ac:dyDescent="0.2">
      <c r="A9" s="29" t="s">
        <v>341</v>
      </c>
      <c r="B9" s="32" t="s">
        <v>343</v>
      </c>
      <c r="C9" s="45" t="s">
        <v>19</v>
      </c>
      <c r="D9" s="18">
        <v>10</v>
      </c>
      <c r="E9" s="71">
        <v>9057.9877071084975</v>
      </c>
      <c r="F9" s="162"/>
    </row>
    <row r="10" spans="1:7" x14ac:dyDescent="0.2">
      <c r="A10" s="29" t="s">
        <v>341</v>
      </c>
      <c r="B10" s="32" t="s">
        <v>344</v>
      </c>
      <c r="C10" s="45" t="s">
        <v>19</v>
      </c>
      <c r="D10" s="18">
        <v>7</v>
      </c>
      <c r="E10" s="71">
        <v>6340.5913949759488</v>
      </c>
      <c r="F10" s="162"/>
    </row>
    <row r="11" spans="1:7" x14ac:dyDescent="0.2">
      <c r="A11" s="29" t="s">
        <v>341</v>
      </c>
      <c r="B11" s="32" t="s">
        <v>22</v>
      </c>
      <c r="C11" s="18" t="s">
        <v>19</v>
      </c>
      <c r="D11" s="18">
        <v>8</v>
      </c>
      <c r="E11" s="71">
        <v>7246.3901656867984</v>
      </c>
      <c r="F11" s="162"/>
    </row>
    <row r="12" spans="1:7" x14ac:dyDescent="0.2">
      <c r="A12" s="29" t="s">
        <v>341</v>
      </c>
      <c r="B12" s="32" t="s">
        <v>345</v>
      </c>
      <c r="C12" s="18" t="s">
        <v>346</v>
      </c>
      <c r="D12" s="18">
        <v>5</v>
      </c>
      <c r="E12" s="71">
        <v>5500</v>
      </c>
      <c r="F12" s="162"/>
    </row>
    <row r="13" spans="1:7" x14ac:dyDescent="0.2">
      <c r="A13" s="29" t="s">
        <v>347</v>
      </c>
      <c r="B13" s="32" t="s">
        <v>348</v>
      </c>
      <c r="C13" s="18" t="s">
        <v>245</v>
      </c>
      <c r="D13" s="18">
        <v>3</v>
      </c>
      <c r="E13" s="71">
        <v>2800</v>
      </c>
      <c r="F13" s="165"/>
    </row>
    <row r="14" spans="1:7" x14ac:dyDescent="0.2">
      <c r="A14" s="8" t="s">
        <v>299</v>
      </c>
      <c r="B14" s="33" t="s">
        <v>323</v>
      </c>
      <c r="C14" s="58"/>
      <c r="D14" s="58"/>
      <c r="E14" s="102"/>
      <c r="F14" s="175" t="s">
        <v>336</v>
      </c>
    </row>
    <row r="15" spans="1:7" x14ac:dyDescent="0.2">
      <c r="A15" s="136" t="s">
        <v>349</v>
      </c>
      <c r="B15" s="137" t="s">
        <v>326</v>
      </c>
      <c r="C15" s="127" t="s">
        <v>19</v>
      </c>
      <c r="D15" s="18">
        <v>18</v>
      </c>
      <c r="E15" s="71">
        <v>13676.377872795296</v>
      </c>
      <c r="F15" s="162"/>
    </row>
    <row r="16" spans="1:7" x14ac:dyDescent="0.2">
      <c r="A16" s="136" t="s">
        <v>349</v>
      </c>
      <c r="B16" s="137" t="s">
        <v>350</v>
      </c>
      <c r="C16" s="127" t="s">
        <v>19</v>
      </c>
      <c r="D16" s="18">
        <v>8</v>
      </c>
      <c r="E16" s="71">
        <v>7246</v>
      </c>
      <c r="F16" s="162"/>
    </row>
    <row r="17" spans="1:7" x14ac:dyDescent="0.2">
      <c r="A17" s="136" t="s">
        <v>349</v>
      </c>
      <c r="B17" s="137" t="s">
        <v>351</v>
      </c>
      <c r="C17" s="127" t="s">
        <v>19</v>
      </c>
      <c r="D17" s="18">
        <v>6</v>
      </c>
      <c r="E17" s="71">
        <v>4558.7926242650992</v>
      </c>
      <c r="F17" s="162"/>
    </row>
    <row r="18" spans="1:7" x14ac:dyDescent="0.2">
      <c r="A18" s="136" t="s">
        <v>349</v>
      </c>
      <c r="B18" s="137" t="s">
        <v>327</v>
      </c>
      <c r="C18" s="127" t="s">
        <v>19</v>
      </c>
      <c r="D18" s="18">
        <v>5</v>
      </c>
      <c r="E18" s="71">
        <v>3798.9938535542492</v>
      </c>
      <c r="F18" s="162"/>
    </row>
    <row r="19" spans="1:7" x14ac:dyDescent="0.2">
      <c r="A19" s="136" t="s">
        <v>349</v>
      </c>
      <c r="B19" s="137" t="s">
        <v>331</v>
      </c>
      <c r="C19" s="127" t="s">
        <v>19</v>
      </c>
      <c r="D19" s="18">
        <v>5</v>
      </c>
      <c r="E19" s="71">
        <v>3798.9938535542501</v>
      </c>
      <c r="F19" s="162"/>
    </row>
    <row r="20" spans="1:7" x14ac:dyDescent="0.2">
      <c r="A20" s="136" t="s">
        <v>349</v>
      </c>
      <c r="B20" s="137" t="s">
        <v>329</v>
      </c>
      <c r="C20" s="127" t="s">
        <v>330</v>
      </c>
      <c r="D20" s="18">
        <v>2</v>
      </c>
      <c r="E20" s="71">
        <v>1217</v>
      </c>
      <c r="F20" s="165"/>
    </row>
    <row r="21" spans="1:7" ht="15.75" customHeight="1" x14ac:dyDescent="0.2">
      <c r="A21" s="138" t="s">
        <v>347</v>
      </c>
      <c r="B21" s="139" t="s">
        <v>352</v>
      </c>
      <c r="C21" s="140" t="s">
        <v>245</v>
      </c>
      <c r="D21" s="37">
        <v>4</v>
      </c>
      <c r="E21" s="27">
        <v>3200</v>
      </c>
      <c r="F21" s="141"/>
    </row>
    <row r="22" spans="1:7" ht="15" customHeight="1" x14ac:dyDescent="0.2">
      <c r="A22" s="8" t="s">
        <v>299</v>
      </c>
      <c r="B22" s="36" t="s">
        <v>353</v>
      </c>
      <c r="C22" s="37"/>
      <c r="D22" s="37"/>
      <c r="E22" s="27"/>
      <c r="F22" s="173" t="s">
        <v>354</v>
      </c>
    </row>
    <row r="23" spans="1:7" ht="15.75" customHeight="1" x14ac:dyDescent="0.2">
      <c r="A23" s="32" t="s">
        <v>52</v>
      </c>
      <c r="B23" s="32" t="s">
        <v>355</v>
      </c>
      <c r="C23" s="18" t="s">
        <v>19</v>
      </c>
      <c r="D23" s="18">
        <v>4</v>
      </c>
      <c r="E23" s="18">
        <v>3769.1950828433996</v>
      </c>
      <c r="F23" s="162"/>
    </row>
    <row r="24" spans="1:7" ht="15.75" customHeight="1" x14ac:dyDescent="0.2">
      <c r="A24" s="32" t="s">
        <v>52</v>
      </c>
      <c r="B24" s="32" t="s">
        <v>356</v>
      </c>
      <c r="C24" s="18" t="s">
        <v>19</v>
      </c>
      <c r="D24" s="18">
        <v>4</v>
      </c>
      <c r="E24" s="18">
        <v>3769.1950828433996</v>
      </c>
      <c r="F24" s="162"/>
    </row>
    <row r="25" spans="1:7" ht="15.75" customHeight="1" x14ac:dyDescent="0.2">
      <c r="A25" s="32" t="s">
        <v>52</v>
      </c>
      <c r="B25" s="32" t="s">
        <v>357</v>
      </c>
      <c r="C25" s="18" t="s">
        <v>19</v>
      </c>
      <c r="D25" s="18">
        <v>4</v>
      </c>
      <c r="E25" s="18">
        <v>3769.1950828433996</v>
      </c>
      <c r="F25" s="162"/>
    </row>
    <row r="26" spans="1:7" ht="15.75" customHeight="1" x14ac:dyDescent="0.2">
      <c r="A26" s="32" t="s">
        <v>52</v>
      </c>
      <c r="B26" s="32" t="s">
        <v>358</v>
      </c>
      <c r="C26" s="18" t="s">
        <v>19</v>
      </c>
      <c r="D26" s="18">
        <v>2</v>
      </c>
      <c r="E26" s="18">
        <v>2104</v>
      </c>
      <c r="F26" s="162"/>
    </row>
    <row r="27" spans="1:7" ht="15.75" customHeight="1" x14ac:dyDescent="0.2">
      <c r="A27" s="142" t="s">
        <v>347</v>
      </c>
      <c r="B27" s="142" t="s">
        <v>359</v>
      </c>
      <c r="C27" s="37" t="s">
        <v>19</v>
      </c>
      <c r="D27" s="37">
        <v>2</v>
      </c>
      <c r="E27" s="27">
        <v>1600</v>
      </c>
      <c r="F27" s="165"/>
    </row>
    <row r="28" spans="1:7" ht="15.75" customHeight="1" x14ac:dyDescent="0.2">
      <c r="A28" s="8" t="s">
        <v>299</v>
      </c>
      <c r="B28" s="36" t="s">
        <v>360</v>
      </c>
      <c r="C28" s="37"/>
      <c r="D28" s="37"/>
      <c r="E28" s="27"/>
      <c r="F28" s="173" t="s">
        <v>361</v>
      </c>
    </row>
    <row r="29" spans="1:7" ht="15.75" customHeight="1" x14ac:dyDescent="0.2">
      <c r="A29" s="29" t="s">
        <v>362</v>
      </c>
      <c r="B29" s="32" t="s">
        <v>363</v>
      </c>
      <c r="C29" s="18" t="s">
        <v>19</v>
      </c>
      <c r="D29" s="18">
        <v>4</v>
      </c>
      <c r="E29" s="18">
        <v>3200</v>
      </c>
      <c r="F29" s="162"/>
      <c r="G29" s="31"/>
    </row>
    <row r="30" spans="1:7" ht="15.75" customHeight="1" x14ac:dyDescent="0.2">
      <c r="A30" s="29" t="s">
        <v>362</v>
      </c>
      <c r="B30" s="32" t="s">
        <v>364</v>
      </c>
      <c r="C30" s="18" t="s">
        <v>19</v>
      </c>
      <c r="D30" s="18">
        <v>3</v>
      </c>
      <c r="E30" s="18">
        <v>2800</v>
      </c>
      <c r="F30" s="162"/>
      <c r="G30" s="31"/>
    </row>
    <row r="31" spans="1:7" ht="15.75" customHeight="1" x14ac:dyDescent="0.2">
      <c r="A31" s="29" t="s">
        <v>362</v>
      </c>
      <c r="B31" s="32" t="s">
        <v>365</v>
      </c>
      <c r="C31" s="18" t="s">
        <v>19</v>
      </c>
      <c r="D31" s="18">
        <v>5</v>
      </c>
      <c r="E31" s="18">
        <v>4800</v>
      </c>
      <c r="F31" s="162"/>
    </row>
    <row r="32" spans="1:7" ht="15.75" customHeight="1" x14ac:dyDescent="0.2">
      <c r="A32" s="29" t="s">
        <v>362</v>
      </c>
      <c r="B32" s="39" t="s">
        <v>366</v>
      </c>
      <c r="C32" s="23" t="s">
        <v>19</v>
      </c>
      <c r="D32" s="23">
        <v>3</v>
      </c>
      <c r="E32" s="23">
        <v>2700</v>
      </c>
      <c r="F32" s="163"/>
    </row>
    <row r="33" spans="1:6" ht="15.75" customHeight="1" x14ac:dyDescent="0.2">
      <c r="A33" s="39"/>
      <c r="B33" s="40" t="s">
        <v>58</v>
      </c>
      <c r="C33" s="41"/>
      <c r="D33" s="44"/>
      <c r="E33" s="43">
        <f>+SUM(E5:E32)</f>
        <v>98952.712720470357</v>
      </c>
      <c r="F33" s="44"/>
    </row>
    <row r="34" spans="1:6" ht="15.75" customHeight="1" x14ac:dyDescent="0.2"/>
    <row r="35" spans="1:6" ht="27.75" customHeight="1" x14ac:dyDescent="0.2">
      <c r="B35" s="2" t="s">
        <v>59</v>
      </c>
      <c r="C35" s="154" t="s">
        <v>60</v>
      </c>
      <c r="D35" s="155"/>
      <c r="E35" s="156"/>
      <c r="F35" s="46" t="s">
        <v>61</v>
      </c>
    </row>
    <row r="36" spans="1:6" ht="27.75" customHeight="1" x14ac:dyDescent="0.2">
      <c r="A36" s="47" t="s">
        <v>62</v>
      </c>
      <c r="B36" s="48" t="s">
        <v>63</v>
      </c>
      <c r="C36" s="157" t="s">
        <v>64</v>
      </c>
      <c r="D36" s="158"/>
      <c r="E36" s="159"/>
      <c r="F36" s="50">
        <v>45658</v>
      </c>
    </row>
    <row r="37" spans="1:6" ht="27.75" customHeight="1" x14ac:dyDescent="0.2">
      <c r="A37" s="47" t="s">
        <v>62</v>
      </c>
      <c r="B37" s="48" t="s">
        <v>65</v>
      </c>
      <c r="C37" s="160" t="s">
        <v>66</v>
      </c>
      <c r="D37" s="158"/>
      <c r="E37" s="159"/>
      <c r="F37" s="50">
        <v>45658</v>
      </c>
    </row>
    <row r="38" spans="1:6" ht="27.75" customHeight="1" x14ac:dyDescent="0.2">
      <c r="A38" s="52" t="s">
        <v>67</v>
      </c>
      <c r="B38" s="53" t="s">
        <v>68</v>
      </c>
      <c r="C38" s="151" t="s">
        <v>69</v>
      </c>
      <c r="D38" s="152"/>
      <c r="E38" s="153"/>
      <c r="F38" s="88">
        <v>45658</v>
      </c>
    </row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2">
    <mergeCell ref="C36:E36"/>
    <mergeCell ref="F14:F20"/>
    <mergeCell ref="C37:E37"/>
    <mergeCell ref="C38:E38"/>
    <mergeCell ref="C35:E35"/>
    <mergeCell ref="A1:A3"/>
    <mergeCell ref="B1:E1"/>
    <mergeCell ref="B2:E2"/>
    <mergeCell ref="B3:E3"/>
    <mergeCell ref="F28:F32"/>
    <mergeCell ref="F22:F27"/>
    <mergeCell ref="F7:F13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100"/>
  <sheetViews>
    <sheetView workbookViewId="0"/>
  </sheetViews>
  <sheetFormatPr defaultColWidth="14.390625" defaultRowHeight="15" customHeight="1" x14ac:dyDescent="0.2"/>
  <cols>
    <col min="1" max="1" width="26.23046875" customWidth="1"/>
    <col min="2" max="2" width="55.421875" customWidth="1"/>
    <col min="3" max="3" width="17.08203125" customWidth="1"/>
    <col min="4" max="5" width="11.43359375" customWidth="1"/>
    <col min="6" max="6" width="15.6015625" customWidth="1"/>
    <col min="7" max="11" width="10.76171875" customWidth="1"/>
  </cols>
  <sheetData>
    <row r="1" spans="1:7" ht="30.75" customHeight="1" x14ac:dyDescent="0.2">
      <c r="A1" s="169"/>
      <c r="B1" s="170" t="s">
        <v>0</v>
      </c>
      <c r="C1" s="171"/>
      <c r="D1" s="171"/>
      <c r="E1" s="171"/>
      <c r="F1" s="2" t="s">
        <v>1</v>
      </c>
    </row>
    <row r="2" spans="1:7" ht="30.75" customHeight="1" x14ac:dyDescent="0.2">
      <c r="A2" s="162"/>
      <c r="B2" s="170" t="s">
        <v>3</v>
      </c>
      <c r="C2" s="171"/>
      <c r="D2" s="171"/>
      <c r="E2" s="171"/>
      <c r="F2" s="2" t="s">
        <v>4</v>
      </c>
    </row>
    <row r="3" spans="1:7" ht="30.75" customHeight="1" x14ac:dyDescent="0.2">
      <c r="A3" s="163"/>
      <c r="B3" s="170" t="s">
        <v>70</v>
      </c>
      <c r="C3" s="171"/>
      <c r="D3" s="171"/>
      <c r="E3" s="171"/>
      <c r="F3" s="4">
        <v>46268</v>
      </c>
    </row>
    <row r="4" spans="1:7" x14ac:dyDescent="0.2">
      <c r="A4" s="5" t="s">
        <v>367</v>
      </c>
      <c r="B4" s="7" t="s">
        <v>231</v>
      </c>
      <c r="C4" s="7" t="s">
        <v>72</v>
      </c>
      <c r="D4" s="7" t="s">
        <v>9</v>
      </c>
      <c r="E4" s="7" t="s">
        <v>10</v>
      </c>
      <c r="F4" s="7" t="s">
        <v>11</v>
      </c>
      <c r="G4" s="89"/>
    </row>
    <row r="5" spans="1:7" ht="25.5" customHeight="1" x14ac:dyDescent="0.25">
      <c r="A5" s="143" t="s">
        <v>73</v>
      </c>
      <c r="B5" s="144" t="s">
        <v>368</v>
      </c>
      <c r="C5" s="58"/>
      <c r="D5" s="58"/>
      <c r="E5" s="58"/>
      <c r="F5" s="180" t="s">
        <v>369</v>
      </c>
    </row>
    <row r="6" spans="1:7" ht="15.75" x14ac:dyDescent="0.2">
      <c r="A6" s="145" t="s">
        <v>14</v>
      </c>
      <c r="B6" s="113" t="s">
        <v>168</v>
      </c>
      <c r="C6" s="58"/>
      <c r="D6" s="58"/>
      <c r="E6" s="102"/>
      <c r="F6" s="162"/>
    </row>
    <row r="7" spans="1:7" x14ac:dyDescent="0.2">
      <c r="A7" s="29" t="s">
        <v>370</v>
      </c>
      <c r="B7" s="85" t="s">
        <v>371</v>
      </c>
      <c r="C7" s="18" t="s">
        <v>19</v>
      </c>
      <c r="D7" s="18">
        <v>8</v>
      </c>
      <c r="E7" s="118">
        <v>8000</v>
      </c>
      <c r="F7" s="162"/>
    </row>
    <row r="8" spans="1:7" x14ac:dyDescent="0.2">
      <c r="A8" s="29" t="s">
        <v>370</v>
      </c>
      <c r="B8" s="85" t="s">
        <v>372</v>
      </c>
      <c r="C8" s="18" t="s">
        <v>19</v>
      </c>
      <c r="D8" s="18">
        <v>24</v>
      </c>
      <c r="E8" s="118">
        <v>16128</v>
      </c>
      <c r="F8" s="162"/>
    </row>
    <row r="9" spans="1:7" x14ac:dyDescent="0.2">
      <c r="A9" s="29" t="s">
        <v>370</v>
      </c>
      <c r="B9" s="85" t="s">
        <v>373</v>
      </c>
      <c r="C9" s="18" t="s">
        <v>19</v>
      </c>
      <c r="D9" s="18">
        <v>2</v>
      </c>
      <c r="E9" s="18">
        <v>2395.5975414216996</v>
      </c>
      <c r="F9" s="162"/>
    </row>
    <row r="10" spans="1:7" x14ac:dyDescent="0.2">
      <c r="A10" s="29" t="s">
        <v>370</v>
      </c>
      <c r="B10" s="85" t="s">
        <v>22</v>
      </c>
      <c r="C10" s="18" t="s">
        <v>19</v>
      </c>
      <c r="D10" s="18">
        <v>3</v>
      </c>
      <c r="E10" s="118">
        <v>3593.3963121325492</v>
      </c>
      <c r="F10" s="162"/>
    </row>
    <row r="11" spans="1:7" x14ac:dyDescent="0.2">
      <c r="A11" s="29" t="s">
        <v>370</v>
      </c>
      <c r="B11" s="85" t="s">
        <v>374</v>
      </c>
      <c r="C11" s="18" t="s">
        <v>19</v>
      </c>
      <c r="D11" s="18">
        <v>2</v>
      </c>
      <c r="E11" s="18">
        <v>4000</v>
      </c>
      <c r="F11" s="162"/>
    </row>
    <row r="12" spans="1:7" x14ac:dyDescent="0.2">
      <c r="A12" s="29" t="s">
        <v>375</v>
      </c>
      <c r="B12" s="85" t="s">
        <v>376</v>
      </c>
      <c r="C12" s="18" t="s">
        <v>245</v>
      </c>
      <c r="D12" s="18">
        <v>5</v>
      </c>
      <c r="E12" s="18">
        <v>2751.3636363636356</v>
      </c>
      <c r="F12" s="165"/>
    </row>
    <row r="13" spans="1:7" ht="15.75" x14ac:dyDescent="0.2">
      <c r="A13" s="145" t="s">
        <v>14</v>
      </c>
      <c r="B13" s="113" t="s">
        <v>377</v>
      </c>
      <c r="C13" s="37"/>
      <c r="D13" s="37"/>
      <c r="E13" s="27"/>
      <c r="F13" s="173" t="s">
        <v>378</v>
      </c>
    </row>
    <row r="14" spans="1:7" x14ac:dyDescent="0.2">
      <c r="A14" s="29" t="s">
        <v>306</v>
      </c>
      <c r="B14" s="32" t="s">
        <v>379</v>
      </c>
      <c r="C14" s="18" t="s">
        <v>19</v>
      </c>
      <c r="D14" s="18">
        <v>4</v>
      </c>
      <c r="E14" s="146">
        <v>4207.1950828433992</v>
      </c>
      <c r="F14" s="162"/>
    </row>
    <row r="15" spans="1:7" x14ac:dyDescent="0.2">
      <c r="A15" s="29" t="s">
        <v>306</v>
      </c>
      <c r="B15" s="32" t="s">
        <v>380</v>
      </c>
      <c r="C15" s="18" t="s">
        <v>19</v>
      </c>
      <c r="D15" s="18">
        <v>6</v>
      </c>
      <c r="E15" s="146">
        <v>6310.7926242650992</v>
      </c>
      <c r="F15" s="162"/>
    </row>
    <row r="16" spans="1:7" x14ac:dyDescent="0.2">
      <c r="A16" s="29" t="s">
        <v>306</v>
      </c>
      <c r="B16" s="32" t="s">
        <v>381</v>
      </c>
      <c r="C16" s="18" t="s">
        <v>19</v>
      </c>
      <c r="D16" s="18">
        <v>4</v>
      </c>
      <c r="E16" s="146">
        <v>3800</v>
      </c>
      <c r="F16" s="162"/>
    </row>
    <row r="17" spans="1:6" x14ac:dyDescent="0.2">
      <c r="A17" s="29" t="s">
        <v>306</v>
      </c>
      <c r="B17" s="39" t="s">
        <v>382</v>
      </c>
      <c r="C17" s="23" t="s">
        <v>19</v>
      </c>
      <c r="D17" s="23">
        <v>6</v>
      </c>
      <c r="E17" s="147">
        <v>5500</v>
      </c>
      <c r="F17" s="163"/>
    </row>
    <row r="18" spans="1:6" ht="15.75" x14ac:dyDescent="0.2">
      <c r="A18" s="145" t="s">
        <v>14</v>
      </c>
      <c r="B18" s="113" t="s">
        <v>180</v>
      </c>
      <c r="C18" s="37"/>
      <c r="D18" s="37"/>
      <c r="E18" s="27"/>
      <c r="F18" s="179" t="s">
        <v>383</v>
      </c>
    </row>
    <row r="19" spans="1:6" x14ac:dyDescent="0.2">
      <c r="A19" s="29" t="s">
        <v>235</v>
      </c>
      <c r="B19" s="85" t="s">
        <v>384</v>
      </c>
      <c r="C19" s="18" t="s">
        <v>19</v>
      </c>
      <c r="D19" s="18">
        <v>3</v>
      </c>
      <c r="E19" s="18">
        <v>3374.3963121325501</v>
      </c>
      <c r="F19" s="162"/>
    </row>
    <row r="20" spans="1:6" x14ac:dyDescent="0.2">
      <c r="A20" s="29" t="s">
        <v>235</v>
      </c>
      <c r="B20" s="85" t="s">
        <v>290</v>
      </c>
      <c r="C20" s="18" t="s">
        <v>19</v>
      </c>
      <c r="D20" s="18">
        <v>3</v>
      </c>
      <c r="E20" s="118">
        <v>3374.3963121325501</v>
      </c>
      <c r="F20" s="162"/>
    </row>
    <row r="21" spans="1:6" ht="15.75" customHeight="1" x14ac:dyDescent="0.2">
      <c r="A21" s="29" t="s">
        <v>235</v>
      </c>
      <c r="B21" s="85" t="s">
        <v>385</v>
      </c>
      <c r="C21" s="18" t="s">
        <v>19</v>
      </c>
      <c r="D21" s="18">
        <v>5</v>
      </c>
      <c r="E21" s="118">
        <v>5623.9938535542487</v>
      </c>
      <c r="F21" s="162"/>
    </row>
    <row r="22" spans="1:6" ht="15.75" customHeight="1" x14ac:dyDescent="0.2">
      <c r="A22" s="29" t="s">
        <v>235</v>
      </c>
      <c r="B22" s="86" t="s">
        <v>386</v>
      </c>
      <c r="C22" s="23" t="s">
        <v>19</v>
      </c>
      <c r="D22" s="23">
        <v>6</v>
      </c>
      <c r="E22" s="148">
        <v>6748.7926242651001</v>
      </c>
      <c r="F22" s="163"/>
    </row>
    <row r="23" spans="1:6" ht="15.75" customHeight="1" x14ac:dyDescent="0.2">
      <c r="A23" s="145" t="s">
        <v>14</v>
      </c>
      <c r="B23" s="113" t="s">
        <v>146</v>
      </c>
      <c r="C23" s="37"/>
      <c r="D23" s="37"/>
      <c r="E23" s="27"/>
      <c r="F23" s="179" t="s">
        <v>387</v>
      </c>
    </row>
    <row r="24" spans="1:6" ht="15.75" customHeight="1" x14ac:dyDescent="0.2">
      <c r="A24" s="29" t="s">
        <v>388</v>
      </c>
      <c r="B24" s="85" t="s">
        <v>389</v>
      </c>
      <c r="C24" s="18" t="s">
        <v>19</v>
      </c>
      <c r="D24" s="18">
        <v>8</v>
      </c>
      <c r="E24" s="118">
        <v>11918.390165686798</v>
      </c>
      <c r="F24" s="162"/>
    </row>
    <row r="25" spans="1:6" ht="15.75" customHeight="1" x14ac:dyDescent="0.2">
      <c r="A25" s="29" t="s">
        <v>388</v>
      </c>
      <c r="B25" s="85" t="s">
        <v>290</v>
      </c>
      <c r="C25" s="18" t="s">
        <v>19</v>
      </c>
      <c r="D25" s="18">
        <v>4</v>
      </c>
      <c r="E25" s="118">
        <v>5959.1950828433992</v>
      </c>
      <c r="F25" s="162"/>
    </row>
    <row r="26" spans="1:6" ht="15.75" customHeight="1" x14ac:dyDescent="0.2">
      <c r="A26" s="29" t="s">
        <v>388</v>
      </c>
      <c r="B26" s="85" t="s">
        <v>390</v>
      </c>
      <c r="C26" s="18" t="s">
        <v>19</v>
      </c>
      <c r="D26" s="18">
        <v>3</v>
      </c>
      <c r="E26" s="118">
        <v>4469.3963121325505</v>
      </c>
      <c r="F26" s="162"/>
    </row>
    <row r="27" spans="1:6" ht="15.75" customHeight="1" x14ac:dyDescent="0.2">
      <c r="A27" s="29" t="s">
        <v>388</v>
      </c>
      <c r="B27" s="85" t="s">
        <v>391</v>
      </c>
      <c r="C27" s="18" t="s">
        <v>19</v>
      </c>
      <c r="D27" s="18">
        <v>3</v>
      </c>
      <c r="E27" s="118">
        <v>4469.3963121325505</v>
      </c>
      <c r="F27" s="165"/>
    </row>
    <row r="28" spans="1:6" ht="15.75" customHeight="1" x14ac:dyDescent="0.2">
      <c r="A28" s="39"/>
      <c r="B28" s="40" t="s">
        <v>58</v>
      </c>
      <c r="C28" s="41"/>
      <c r="D28" s="44"/>
      <c r="E28" s="43">
        <f>+SUM(E5:E27)</f>
        <v>102624.30217190614</v>
      </c>
      <c r="F28" s="44"/>
    </row>
    <row r="29" spans="1:6" ht="15.75" customHeight="1" x14ac:dyDescent="0.2"/>
    <row r="30" spans="1:6" ht="27.75" customHeight="1" x14ac:dyDescent="0.2">
      <c r="B30" s="2" t="s">
        <v>59</v>
      </c>
      <c r="C30" s="154" t="s">
        <v>60</v>
      </c>
      <c r="D30" s="155"/>
      <c r="E30" s="156"/>
      <c r="F30" s="46" t="s">
        <v>61</v>
      </c>
    </row>
    <row r="31" spans="1:6" ht="27.75" customHeight="1" x14ac:dyDescent="0.2">
      <c r="A31" s="47" t="s">
        <v>62</v>
      </c>
      <c r="B31" s="48" t="s">
        <v>63</v>
      </c>
      <c r="C31" s="157" t="s">
        <v>64</v>
      </c>
      <c r="D31" s="158"/>
      <c r="E31" s="159"/>
      <c r="F31" s="50">
        <v>45658</v>
      </c>
    </row>
    <row r="32" spans="1:6" ht="27.75" customHeight="1" x14ac:dyDescent="0.2">
      <c r="A32" s="47" t="s">
        <v>62</v>
      </c>
      <c r="B32" s="48" t="s">
        <v>65</v>
      </c>
      <c r="C32" s="160" t="s">
        <v>66</v>
      </c>
      <c r="D32" s="158"/>
      <c r="E32" s="159"/>
      <c r="F32" s="50">
        <v>45658</v>
      </c>
    </row>
    <row r="33" spans="1:6" ht="27.75" customHeight="1" x14ac:dyDescent="0.2">
      <c r="A33" s="52" t="s">
        <v>67</v>
      </c>
      <c r="B33" s="53" t="s">
        <v>68</v>
      </c>
      <c r="C33" s="151" t="s">
        <v>69</v>
      </c>
      <c r="D33" s="152"/>
      <c r="E33" s="153"/>
      <c r="F33" s="88">
        <v>45658</v>
      </c>
    </row>
    <row r="34" spans="1:6" ht="15.75" customHeight="1" x14ac:dyDescent="0.2"/>
    <row r="35" spans="1:6" ht="15.75" customHeight="1" x14ac:dyDescent="0.2"/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2">
    <mergeCell ref="A1:A3"/>
    <mergeCell ref="B3:E3"/>
    <mergeCell ref="F5:F12"/>
    <mergeCell ref="F13:F17"/>
    <mergeCell ref="F18:F22"/>
    <mergeCell ref="F23:F27"/>
    <mergeCell ref="C33:E33"/>
    <mergeCell ref="B1:E1"/>
    <mergeCell ref="B2:E2"/>
    <mergeCell ref="C32:E32"/>
    <mergeCell ref="C30:E30"/>
    <mergeCell ref="C31:E31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100"/>
  <sheetViews>
    <sheetView workbookViewId="0"/>
  </sheetViews>
  <sheetFormatPr defaultColWidth="14.390625" defaultRowHeight="15" customHeight="1" x14ac:dyDescent="0.2"/>
  <cols>
    <col min="1" max="1" width="27.98046875" customWidth="1"/>
    <col min="2" max="2" width="67.93359375" customWidth="1"/>
    <col min="3" max="3" width="16.54296875" customWidth="1"/>
    <col min="4" max="5" width="11.43359375" customWidth="1"/>
    <col min="6" max="6" width="17.3515625" customWidth="1"/>
    <col min="7" max="11" width="10.76171875" customWidth="1"/>
  </cols>
  <sheetData>
    <row r="1" spans="1:6" ht="30.75" customHeight="1" x14ac:dyDescent="0.2">
      <c r="A1" s="169"/>
      <c r="B1" s="170" t="s">
        <v>0</v>
      </c>
      <c r="C1" s="171"/>
      <c r="D1" s="171"/>
      <c r="E1" s="171"/>
      <c r="F1" s="2" t="s">
        <v>1</v>
      </c>
    </row>
    <row r="2" spans="1:6" ht="30.75" customHeight="1" x14ac:dyDescent="0.2">
      <c r="A2" s="162"/>
      <c r="B2" s="170" t="s">
        <v>3</v>
      </c>
      <c r="C2" s="171"/>
      <c r="D2" s="171"/>
      <c r="E2" s="171"/>
      <c r="F2" s="2" t="s">
        <v>4</v>
      </c>
    </row>
    <row r="3" spans="1:6" ht="30.75" customHeight="1" x14ac:dyDescent="0.2">
      <c r="A3" s="163"/>
      <c r="B3" s="170" t="s">
        <v>70</v>
      </c>
      <c r="C3" s="171"/>
      <c r="D3" s="171"/>
      <c r="E3" s="171"/>
      <c r="F3" s="4">
        <v>46268</v>
      </c>
    </row>
    <row r="4" spans="1:6" x14ac:dyDescent="0.2">
      <c r="A4" s="149" t="s">
        <v>392</v>
      </c>
      <c r="B4" s="7" t="s">
        <v>231</v>
      </c>
      <c r="C4" s="7" t="s">
        <v>72</v>
      </c>
      <c r="D4" s="7" t="s">
        <v>9</v>
      </c>
      <c r="E4" s="7" t="s">
        <v>10</v>
      </c>
      <c r="F4" s="7" t="s">
        <v>11</v>
      </c>
    </row>
    <row r="5" spans="1:6" ht="18.75" x14ac:dyDescent="0.25">
      <c r="A5" s="115" t="s">
        <v>393</v>
      </c>
      <c r="B5" s="144" t="s">
        <v>273</v>
      </c>
      <c r="C5" s="37"/>
      <c r="D5" s="37"/>
      <c r="E5" s="37"/>
      <c r="F5" s="173" t="s">
        <v>394</v>
      </c>
    </row>
    <row r="6" spans="1:6" ht="15.75" x14ac:dyDescent="0.2">
      <c r="A6" s="145" t="s">
        <v>14</v>
      </c>
      <c r="B6" s="36" t="s">
        <v>395</v>
      </c>
      <c r="C6" s="27"/>
      <c r="D6" s="150"/>
      <c r="E6" s="27"/>
      <c r="F6" s="162"/>
    </row>
    <row r="7" spans="1:6" x14ac:dyDescent="0.2">
      <c r="A7" s="29" t="s">
        <v>52</v>
      </c>
      <c r="B7" s="32" t="s">
        <v>396</v>
      </c>
      <c r="C7" s="71" t="s">
        <v>19</v>
      </c>
      <c r="D7" s="76">
        <v>6</v>
      </c>
      <c r="E7" s="71">
        <v>6748.7926242651001</v>
      </c>
      <c r="F7" s="162"/>
    </row>
    <row r="8" spans="1:6" x14ac:dyDescent="0.2">
      <c r="A8" s="29" t="s">
        <v>397</v>
      </c>
      <c r="B8" s="32" t="s">
        <v>398</v>
      </c>
      <c r="C8" s="71" t="s">
        <v>19</v>
      </c>
      <c r="D8" s="76">
        <v>2</v>
      </c>
      <c r="E8" s="71">
        <v>1773.9</v>
      </c>
      <c r="F8" s="162"/>
    </row>
    <row r="9" spans="1:6" x14ac:dyDescent="0.2">
      <c r="A9" s="29" t="s">
        <v>52</v>
      </c>
      <c r="B9" s="39" t="s">
        <v>281</v>
      </c>
      <c r="C9" s="82" t="s">
        <v>19</v>
      </c>
      <c r="D9" s="81">
        <v>4</v>
      </c>
      <c r="E9" s="82">
        <v>4499.1950828433992</v>
      </c>
      <c r="F9" s="163"/>
    </row>
    <row r="10" spans="1:6" ht="15.75" x14ac:dyDescent="0.2">
      <c r="A10" s="145" t="s">
        <v>14</v>
      </c>
      <c r="B10" s="36" t="s">
        <v>399</v>
      </c>
      <c r="C10" s="27"/>
      <c r="D10" s="37"/>
      <c r="E10" s="27"/>
      <c r="F10" s="179" t="s">
        <v>394</v>
      </c>
    </row>
    <row r="11" spans="1:6" x14ac:dyDescent="0.2">
      <c r="A11" s="29" t="s">
        <v>52</v>
      </c>
      <c r="B11" s="85" t="s">
        <v>400</v>
      </c>
      <c r="C11" s="71" t="s">
        <v>19</v>
      </c>
      <c r="D11" s="18">
        <v>6</v>
      </c>
      <c r="E11" s="18">
        <v>6748.7926242651001</v>
      </c>
      <c r="F11" s="162"/>
    </row>
    <row r="12" spans="1:6" x14ac:dyDescent="0.2">
      <c r="A12" s="29" t="s">
        <v>397</v>
      </c>
      <c r="B12" s="32" t="s">
        <v>401</v>
      </c>
      <c r="C12" s="71" t="s">
        <v>19</v>
      </c>
      <c r="D12" s="76">
        <v>2</v>
      </c>
      <c r="E12" s="71">
        <v>1773.9</v>
      </c>
      <c r="F12" s="162"/>
    </row>
    <row r="13" spans="1:6" x14ac:dyDescent="0.2">
      <c r="A13" s="29" t="s">
        <v>52</v>
      </c>
      <c r="B13" s="85" t="s">
        <v>56</v>
      </c>
      <c r="C13" s="71" t="s">
        <v>19</v>
      </c>
      <c r="D13" s="18">
        <v>4</v>
      </c>
      <c r="E13" s="18">
        <v>4499.1950828433992</v>
      </c>
      <c r="F13" s="165"/>
    </row>
    <row r="14" spans="1:6" ht="15.75" x14ac:dyDescent="0.2">
      <c r="A14" s="145" t="s">
        <v>14</v>
      </c>
      <c r="B14" s="36" t="s">
        <v>402</v>
      </c>
      <c r="C14" s="27"/>
      <c r="D14" s="37"/>
      <c r="E14" s="27"/>
      <c r="F14" s="173" t="s">
        <v>403</v>
      </c>
    </row>
    <row r="15" spans="1:6" x14ac:dyDescent="0.2">
      <c r="A15" s="77" t="s">
        <v>52</v>
      </c>
      <c r="B15" s="39" t="s">
        <v>404</v>
      </c>
      <c r="C15" s="82" t="s">
        <v>19</v>
      </c>
      <c r="D15" s="23">
        <v>6</v>
      </c>
      <c r="E15" s="23">
        <v>4777.7926242650992</v>
      </c>
      <c r="F15" s="163"/>
    </row>
    <row r="16" spans="1:6" ht="15.75" x14ac:dyDescent="0.2">
      <c r="A16" s="145" t="s">
        <v>14</v>
      </c>
      <c r="B16" s="36" t="s">
        <v>177</v>
      </c>
      <c r="C16" s="27"/>
      <c r="D16" s="150"/>
      <c r="E16" s="27"/>
      <c r="F16" s="179" t="s">
        <v>405</v>
      </c>
    </row>
    <row r="17" spans="1:6" x14ac:dyDescent="0.2">
      <c r="A17" s="29" t="s">
        <v>349</v>
      </c>
      <c r="B17" s="32" t="s">
        <v>406</v>
      </c>
      <c r="C17" s="71" t="s">
        <v>19</v>
      </c>
      <c r="D17" s="76">
        <v>10</v>
      </c>
      <c r="E17" s="71">
        <v>7962.9877071084984</v>
      </c>
      <c r="F17" s="162"/>
    </row>
    <row r="18" spans="1:6" x14ac:dyDescent="0.2">
      <c r="A18" s="29" t="s">
        <v>349</v>
      </c>
      <c r="B18" s="32" t="s">
        <v>407</v>
      </c>
      <c r="C18" s="71" t="s">
        <v>19</v>
      </c>
      <c r="D18" s="76">
        <v>8</v>
      </c>
      <c r="E18" s="71">
        <v>7538</v>
      </c>
      <c r="F18" s="162"/>
    </row>
    <row r="19" spans="1:6" x14ac:dyDescent="0.2">
      <c r="A19" s="29" t="s">
        <v>349</v>
      </c>
      <c r="B19" s="32" t="s">
        <v>408</v>
      </c>
      <c r="C19" s="71" t="s">
        <v>19</v>
      </c>
      <c r="D19" s="76">
        <v>5</v>
      </c>
      <c r="E19" s="71">
        <v>3981.4938535542492</v>
      </c>
      <c r="F19" s="162"/>
    </row>
    <row r="20" spans="1:6" x14ac:dyDescent="0.2">
      <c r="A20" s="29" t="s">
        <v>349</v>
      </c>
      <c r="B20" s="32" t="s">
        <v>409</v>
      </c>
      <c r="C20" s="71" t="s">
        <v>19</v>
      </c>
      <c r="D20" s="76">
        <v>6</v>
      </c>
      <c r="E20" s="71">
        <v>4880</v>
      </c>
      <c r="F20" s="162"/>
    </row>
    <row r="21" spans="1:6" ht="15.75" customHeight="1" x14ac:dyDescent="0.2">
      <c r="A21" s="29" t="s">
        <v>349</v>
      </c>
      <c r="B21" s="32" t="s">
        <v>410</v>
      </c>
      <c r="C21" s="71" t="s">
        <v>19</v>
      </c>
      <c r="D21" s="81">
        <v>6</v>
      </c>
      <c r="E21" s="82">
        <v>4778</v>
      </c>
      <c r="F21" s="165"/>
    </row>
    <row r="22" spans="1:6" ht="15.75" customHeight="1" x14ac:dyDescent="0.2">
      <c r="A22" s="145" t="s">
        <v>14</v>
      </c>
      <c r="B22" s="36" t="s">
        <v>144</v>
      </c>
      <c r="C22" s="27"/>
      <c r="D22" s="37"/>
      <c r="E22" s="27"/>
      <c r="F22" s="175" t="s">
        <v>411</v>
      </c>
    </row>
    <row r="23" spans="1:6" ht="15.75" customHeight="1" x14ac:dyDescent="0.2">
      <c r="A23" s="29" t="s">
        <v>412</v>
      </c>
      <c r="B23" s="85" t="s">
        <v>413</v>
      </c>
      <c r="C23" s="71" t="s">
        <v>19</v>
      </c>
      <c r="D23" s="18">
        <v>4</v>
      </c>
      <c r="E23" s="18">
        <v>4499.1950828433992</v>
      </c>
      <c r="F23" s="162"/>
    </row>
    <row r="24" spans="1:6" ht="15.75" customHeight="1" x14ac:dyDescent="0.2">
      <c r="A24" s="29" t="s">
        <v>412</v>
      </c>
      <c r="B24" s="85" t="s">
        <v>56</v>
      </c>
      <c r="C24" s="71" t="s">
        <v>19</v>
      </c>
      <c r="D24" s="18">
        <v>4</v>
      </c>
      <c r="E24" s="18">
        <v>3875.4938535542501</v>
      </c>
      <c r="F24" s="162"/>
    </row>
    <row r="25" spans="1:6" ht="15.75" customHeight="1" x14ac:dyDescent="0.2">
      <c r="A25" s="29" t="s">
        <v>412</v>
      </c>
      <c r="B25" s="85" t="s">
        <v>414</v>
      </c>
      <c r="C25" s="71" t="s">
        <v>19</v>
      </c>
      <c r="D25" s="18">
        <v>3</v>
      </c>
      <c r="E25" s="18">
        <v>1898</v>
      </c>
      <c r="F25" s="162"/>
    </row>
    <row r="26" spans="1:6" ht="15.75" customHeight="1" x14ac:dyDescent="0.2">
      <c r="A26" s="29" t="s">
        <v>412</v>
      </c>
      <c r="B26" s="86" t="s">
        <v>415</v>
      </c>
      <c r="C26" s="82" t="s">
        <v>416</v>
      </c>
      <c r="D26" s="23">
        <v>3</v>
      </c>
      <c r="E26" s="23">
        <v>1898</v>
      </c>
      <c r="F26" s="163"/>
    </row>
    <row r="27" spans="1:6" ht="15.75" customHeight="1" x14ac:dyDescent="0.2">
      <c r="A27" s="145" t="s">
        <v>14</v>
      </c>
      <c r="B27" s="36" t="s">
        <v>186</v>
      </c>
      <c r="C27" s="27"/>
      <c r="D27" s="37"/>
      <c r="E27" s="27"/>
      <c r="F27" s="173" t="s">
        <v>417</v>
      </c>
    </row>
    <row r="28" spans="1:6" ht="15.75" customHeight="1" x14ac:dyDescent="0.2">
      <c r="A28" s="29" t="s">
        <v>418</v>
      </c>
      <c r="B28" s="32" t="s">
        <v>419</v>
      </c>
      <c r="C28" s="71" t="s">
        <v>19</v>
      </c>
      <c r="D28" s="18">
        <v>5</v>
      </c>
      <c r="E28" s="71">
        <v>3981.4938535542492</v>
      </c>
      <c r="F28" s="162"/>
    </row>
    <row r="29" spans="1:6" ht="15.75" customHeight="1" x14ac:dyDescent="0.2">
      <c r="A29" s="29" t="s">
        <v>418</v>
      </c>
      <c r="B29" s="32" t="s">
        <v>420</v>
      </c>
      <c r="C29" s="71" t="s">
        <v>19</v>
      </c>
      <c r="D29" s="18">
        <v>6</v>
      </c>
      <c r="E29" s="71">
        <v>6748.7926242651001</v>
      </c>
      <c r="F29" s="162"/>
    </row>
    <row r="30" spans="1:6" ht="15.75" customHeight="1" x14ac:dyDescent="0.2">
      <c r="A30" s="29" t="s">
        <v>418</v>
      </c>
      <c r="B30" s="32" t="s">
        <v>421</v>
      </c>
      <c r="C30" s="71" t="s">
        <v>19</v>
      </c>
      <c r="D30" s="18">
        <v>4</v>
      </c>
      <c r="E30" s="18">
        <v>4499.1950828433992</v>
      </c>
      <c r="F30" s="165"/>
    </row>
    <row r="31" spans="1:6" ht="15.75" customHeight="1" x14ac:dyDescent="0.2">
      <c r="A31" s="77"/>
      <c r="B31" s="40" t="s">
        <v>58</v>
      </c>
      <c r="C31" s="41"/>
      <c r="D31" s="44"/>
      <c r="E31" s="43">
        <f>SUM(E7:E30)</f>
        <v>87362.220096205245</v>
      </c>
      <c r="F31" s="44"/>
    </row>
    <row r="32" spans="1:6" ht="27.75" customHeight="1" x14ac:dyDescent="0.2">
      <c r="B32" s="2" t="s">
        <v>59</v>
      </c>
      <c r="C32" s="154" t="s">
        <v>60</v>
      </c>
      <c r="D32" s="155"/>
      <c r="E32" s="156"/>
      <c r="F32" s="46" t="s">
        <v>61</v>
      </c>
    </row>
    <row r="33" spans="1:6" ht="27.75" customHeight="1" x14ac:dyDescent="0.2">
      <c r="A33" s="47" t="s">
        <v>62</v>
      </c>
      <c r="B33" s="48" t="s">
        <v>63</v>
      </c>
      <c r="C33" s="157" t="s">
        <v>64</v>
      </c>
      <c r="D33" s="158"/>
      <c r="E33" s="159"/>
      <c r="F33" s="50">
        <v>45658</v>
      </c>
    </row>
    <row r="34" spans="1:6" ht="27.75" customHeight="1" x14ac:dyDescent="0.2">
      <c r="A34" s="47" t="s">
        <v>62</v>
      </c>
      <c r="B34" s="48" t="s">
        <v>65</v>
      </c>
      <c r="C34" s="160" t="s">
        <v>66</v>
      </c>
      <c r="D34" s="158"/>
      <c r="E34" s="159"/>
      <c r="F34" s="50">
        <v>45658</v>
      </c>
    </row>
    <row r="35" spans="1:6" ht="27.75" customHeight="1" x14ac:dyDescent="0.2">
      <c r="A35" s="52" t="s">
        <v>67</v>
      </c>
      <c r="B35" s="53" t="s">
        <v>68</v>
      </c>
      <c r="C35" s="151" t="s">
        <v>69</v>
      </c>
      <c r="D35" s="152"/>
      <c r="E35" s="153"/>
      <c r="F35" s="88">
        <v>45658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4">
    <mergeCell ref="F5:F9"/>
    <mergeCell ref="F10:F13"/>
    <mergeCell ref="F16:F21"/>
    <mergeCell ref="F14:F15"/>
    <mergeCell ref="F27:F30"/>
    <mergeCell ref="F22:F26"/>
    <mergeCell ref="C34:E34"/>
    <mergeCell ref="C35:E35"/>
    <mergeCell ref="A1:A3"/>
    <mergeCell ref="B1:E1"/>
    <mergeCell ref="B2:E2"/>
    <mergeCell ref="B3:E3"/>
    <mergeCell ref="C33:E33"/>
    <mergeCell ref="C32:E3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REGION 01</vt:lpstr>
      <vt:lpstr>REGION 02</vt:lpstr>
      <vt:lpstr>KAM ISSSTE (03)</vt:lpstr>
      <vt:lpstr>REGION 04</vt:lpstr>
      <vt:lpstr>REGION 05</vt:lpstr>
      <vt:lpstr>REGION 06</vt:lpstr>
      <vt:lpstr>REGION 07</vt:lpstr>
      <vt:lpstr>REGION 08</vt:lpstr>
      <vt:lpstr>REGION 09</vt:lpstr>
      <vt:lpstr>REGION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</dc:creator>
  <cp:lastModifiedBy>1a103 Gerardo Muñoz Padilla</cp:lastModifiedBy>
  <cp:lastPrinted>2018-04-16T23:09:01Z</cp:lastPrinted>
  <dcterms:created xsi:type="dcterms:W3CDTF">2017-02-16T20:31:21Z</dcterms:created>
  <dcterms:modified xsi:type="dcterms:W3CDTF">2026-09-03T18:33:31Z</dcterms:modified>
</cp:coreProperties>
</file>
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arlos.guzman\AppData\Local\Microsoft\Windows\INetCache\Content.Outlook\J5GD4D8F\"/>
    </mc:Choice>
  </mc:AlternateContent>
  <xr:revisionPtr revIDLastSave="0" documentId="8_{A2006452-72F9-4B53-92F9-95EBD1D9D2F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 (2)" sheetId="2" r:id="rId1"/>
    <sheet name="Hoja1" sheetId="1" r:id="rId2"/>
    <sheet name="Hoja2" sheetId="3" r:id="rId3"/>
  </sheets>
  <definedNames>
    <definedName name="_xlnm._FilterDatabase" localSheetId="1" hidden="1">Hoja1!$A$2:$L$202</definedName>
    <definedName name="_xlnm._FilterDatabase" localSheetId="0" hidden="1">'Hoja1 (2)'!$A$2:$I$202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3" i="1"/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l="1"/>
  <c r="B66" i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Nomina</author>
    <author>Nominas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Nomina:</t>
        </r>
        <r>
          <rPr>
            <sz val="9"/>
            <color indexed="81"/>
            <rFont val="Tahoma"/>
            <family val="2"/>
          </rPr>
          <t xml:space="preserve">
Cambio a Lefarma México 16/08/2025</t>
        </r>
      </text>
    </comment>
    <comment ref="C5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CAMBIA DE REUMEDIKA A ASOKAM 01/04/2021 )</t>
        </r>
      </text>
    </comment>
    <comment ref="C12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ALTA IMSS 02/5/15
</t>
        </r>
      </text>
    </comment>
    <comment ref="C186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ALTA IMSS 27/5/14
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Nomina</author>
    <author>Nominas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Nomina:</t>
        </r>
        <r>
          <rPr>
            <sz val="9"/>
            <color indexed="81"/>
            <rFont val="Tahoma"/>
            <family val="2"/>
          </rPr>
          <t xml:space="preserve">
Cambio a Lefarma México 16/08/2025</t>
        </r>
      </text>
    </comment>
    <comment ref="D5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CAMBIA DE REUMEDIKA A ASOKAM 01/04/2021 )</t>
        </r>
      </text>
    </comment>
    <comment ref="D124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ALTA IMSS 02/5/15
</t>
        </r>
      </text>
    </comment>
    <comment ref="D186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Nominas:</t>
        </r>
        <r>
          <rPr>
            <sz val="9"/>
            <color indexed="81"/>
            <rFont val="Tahoma"/>
            <family val="2"/>
          </rPr>
          <t xml:space="preserve">
ALTA IMSS 27/5/14
.</t>
        </r>
      </text>
    </comment>
  </commentList>
</comments>
</file>

<file path=xl/sharedStrings.xml><?xml version="1.0" encoding="utf-8"?>
<sst xmlns="http://schemas.openxmlformats.org/spreadsheetml/2006/main" count="852" uniqueCount="441">
  <si>
    <t>No.</t>
  </si>
  <si>
    <t>EMPLEADO</t>
  </si>
  <si>
    <t>AGISS VELAZQUEZ ALFREDO ALEJANDRO</t>
  </si>
  <si>
    <t>AGUILAR AGUILAR CARLOS ENRIQUE</t>
  </si>
  <si>
    <t>AGUILERA DIAZ ERICK ISRAEL</t>
  </si>
  <si>
    <t>ALVAREZ GUEVARA MA. LUCIA</t>
  </si>
  <si>
    <t>ANAYA PARTIDA ROCIO</t>
  </si>
  <si>
    <t>ANGELES MAQUEDA DANIEL ALEJANDRO</t>
  </si>
  <si>
    <t>ARANA FRAGOSO OBED</t>
  </si>
  <si>
    <t>ARZATE RAMIREZ CLAUDIA</t>
  </si>
  <si>
    <t>ATILANO VAZQUEZ MELLADO OCTAVIO</t>
  </si>
  <si>
    <t>BELLO LOPEZ EVA</t>
  </si>
  <si>
    <t>BELTRAN SANCHEZ BENJAMIN</t>
  </si>
  <si>
    <t>BONILLA LOPEZ GISELA</t>
  </si>
  <si>
    <t>CARMONA GARCIA RICARDO FRANCISCO</t>
  </si>
  <si>
    <t>CASTORENA ANGELES CINTHIA</t>
  </si>
  <si>
    <t>CAZARES GONZALEZ YANET</t>
  </si>
  <si>
    <t>CHAVARRIA FLORES ADAN</t>
  </si>
  <si>
    <t>CHAVEZ ARZATE VIOLETA</t>
  </si>
  <si>
    <t>CORONA CRUZ ALFREDO</t>
  </si>
  <si>
    <t>CORONA JUSTO DANIELA</t>
  </si>
  <si>
    <t>CORTES MEJIA NOE</t>
  </si>
  <si>
    <t>CRUZ BRISEÑO GERARDO</t>
  </si>
  <si>
    <t>CRUZ ILLESCAS OSCAR EMIR</t>
  </si>
  <si>
    <t>DE LA CONCHA ROMERO MARCIAL FIDEL</t>
  </si>
  <si>
    <t>DE LA CRUZ FERNANDO JOSE</t>
  </si>
  <si>
    <t>DEL VALLE RUDIÑO MIGUEL ALBERTO</t>
  </si>
  <si>
    <t>DELGADO TRUJILLO SANDRA LUZ</t>
  </si>
  <si>
    <t>ESPINO MARTINEZ JUANA</t>
  </si>
  <si>
    <t>FERNANDEZ PORTELLES ALEXANDER</t>
  </si>
  <si>
    <t>FLORES CLIMACO JOSE ELOY</t>
  </si>
  <si>
    <t>FLORES ESCOGIDO JESSICA ARELY</t>
  </si>
  <si>
    <t>FLORES SANCHEZ VICTOR MANUEL</t>
  </si>
  <si>
    <t>FLORES TORRES HERIBERTO</t>
  </si>
  <si>
    <t>FRIOL GONZALEZ JESUS ENRIQUE</t>
  </si>
  <si>
    <t>GASCA HINOJOSA DANIEL</t>
  </si>
  <si>
    <t>GODOY RAMIREZ VIRIDIANA</t>
  </si>
  <si>
    <t>GOMEZ ESQUIVEL ALEJANDRO</t>
  </si>
  <si>
    <t>GONZALEZ FLORES JESSICA NALLELY</t>
  </si>
  <si>
    <t>GONZALEZ VEGA JACQUELINE</t>
  </si>
  <si>
    <t>GRANADOS ANGELES BRISA</t>
  </si>
  <si>
    <t>GUTIERREZ ESPINOSA ADRIANA</t>
  </si>
  <si>
    <t>GUTIERREZ FLORES GABRIEL</t>
  </si>
  <si>
    <t>GUTIERREZ VEGA HUGO ALEJANDRO</t>
  </si>
  <si>
    <t>HERNANDEZ AGUILAR YANET</t>
  </si>
  <si>
    <t>HERNANDEZ CANALES HILDA</t>
  </si>
  <si>
    <t>HERNANDEZ CRUZ ALFONSO ISRAEL</t>
  </si>
  <si>
    <t>HERNANDEZ HERNANDEZ CRUZ FRANCISCO</t>
  </si>
  <si>
    <t>HERNANDEZ PEREZ MARIA DE LOURDES</t>
  </si>
  <si>
    <t>HERNANDEZ ROSALES MARIA DE LOS ANGELES</t>
  </si>
  <si>
    <t>HIPOLITO OSORIO SUSANA</t>
  </si>
  <si>
    <t>IBARRA ESQUIVEL MARCOS NAHU</t>
  </si>
  <si>
    <t>JIMENEZ JIMENEZ JONATHAN</t>
  </si>
  <si>
    <t>LAMA DELGADILLO ERIKA BERENICE</t>
  </si>
  <si>
    <t>LOPEZ LOPEZ JUAN ALEJANDRO</t>
  </si>
  <si>
    <t>LOPEZ PEREZ EMMANUEL</t>
  </si>
  <si>
    <t>MACIAS DIAZ OSCAR HORACIO</t>
  </si>
  <si>
    <t>MARES GARCIA CATALINA</t>
  </si>
  <si>
    <t>MARQUEZ MONTAÑO EDUARDO</t>
  </si>
  <si>
    <t>MARTINEZ ALDARAN EILEEN SARAI</t>
  </si>
  <si>
    <t>MARTINEZ FORTUNATO PEDRO ERNESTO</t>
  </si>
  <si>
    <t>MATIAS ALVAREZ GLORIA</t>
  </si>
  <si>
    <t>MEJIA SANCHEZ HUGO ENRIQUE</t>
  </si>
  <si>
    <t>MENDEZ RODRIGUEZ JUSTO ENRIQUE</t>
  </si>
  <si>
    <t>MENDEZ ROJAS FRANCISCO JAVIER</t>
  </si>
  <si>
    <t>MORALES ALEGRE FERNANDO</t>
  </si>
  <si>
    <t>MORALES MANDUJANO MOISES</t>
  </si>
  <si>
    <t>MORALES PINEDA KARLA</t>
  </si>
  <si>
    <t>MORENO MIRANDA ALEJANDRA</t>
  </si>
  <si>
    <t>ORTIZ ARELLANO MARIA IMELDA</t>
  </si>
  <si>
    <t>PARRA PARRA DAYAMI DUNIA</t>
  </si>
  <si>
    <t>PEDROZA QUEVEDO JOSE ISABEL</t>
  </si>
  <si>
    <t>PEREZ ESPARZA ELEAZAR</t>
  </si>
  <si>
    <t>PEREZ VALDEZ LUDWIN SAMUEL</t>
  </si>
  <si>
    <t>PEROZO PINEDA EVAN MIGDALIA</t>
  </si>
  <si>
    <t>POZO URQUIZO LUIS ANTONIO</t>
  </si>
  <si>
    <t>POZOS ASENCIO ALEXANDER</t>
  </si>
  <si>
    <t>RAMIREZ CASTILLO BENJAMIN</t>
  </si>
  <si>
    <t>RAMIREZ RAMIREZ DARIA ELENA</t>
  </si>
  <si>
    <t>RAMIREZ RAMIREZ PATRICIA</t>
  </si>
  <si>
    <t>RAMIREZ VELASCO FELIPE DAVID</t>
  </si>
  <si>
    <t>REYES CHAVEZ MANUEL</t>
  </si>
  <si>
    <t>REYES ROSALES GINA</t>
  </si>
  <si>
    <t>RIVAS NAJERA SARAI</t>
  </si>
  <si>
    <t>RODRIGUEZ BOZA EDITH MAGALY</t>
  </si>
  <si>
    <t>RODRIGUEZ VILLASEÑOR AURORA</t>
  </si>
  <si>
    <t>ROJAS GALINDO EDIBERTO</t>
  </si>
  <si>
    <t>ROJAS GALINDO OSWALDO</t>
  </si>
  <si>
    <t>ROJAS GUERRA OLGA</t>
  </si>
  <si>
    <t>ROMERO HERNANDEZ EDGAR</t>
  </si>
  <si>
    <t>RUIZ GARCIA DULCE GUADALUPE</t>
  </si>
  <si>
    <t>SANCHEZ HERNANDEZ MARIA GUADALUPE</t>
  </si>
  <si>
    <t>SANTANA ALCANTARA ERIK</t>
  </si>
  <si>
    <t>SANTILLAN BAEZ ANGELICA</t>
  </si>
  <si>
    <t>TORIJA NIETO ROBERTO</t>
  </si>
  <si>
    <t>TORRES PEREZ DULCE CAROLINA</t>
  </si>
  <si>
    <t>VARELA ARAUJO MARINA</t>
  </si>
  <si>
    <t>VELAZQUEZ NARVAEZ JUAN CARLOS</t>
  </si>
  <si>
    <t>VELAZQUEZ VILLEGAS DANIEL WILFRIDO</t>
  </si>
  <si>
    <t>VILLALPANDO MARIN JOSE BERNARDO</t>
  </si>
  <si>
    <t>YAÑEZ MORENO ALMA YELLY</t>
  </si>
  <si>
    <t>ZAMORA NUÑEZ FRANCISCO JAIRZINHIO</t>
  </si>
  <si>
    <t>ZARCO DOMINGUEZ OSCAR JESUS</t>
  </si>
  <si>
    <t>ZENDEJAS ARAIZA LESLY ISAMAR</t>
  </si>
  <si>
    <t>HUERTA GARCIA JOSE RICARDO</t>
  </si>
  <si>
    <t>LUNA MONDRAGON ALDO JESUS</t>
  </si>
  <si>
    <t>ALONSO HERNANDEZ JUAN CARLOS</t>
  </si>
  <si>
    <t>ARREDONDO ORTIZ ADRIANA</t>
  </si>
  <si>
    <t>LIBERATO DIAZ OLIVIA GISELLE</t>
  </si>
  <si>
    <t>SALAZAR GUZMAN MANUEL OCTAVIO</t>
  </si>
  <si>
    <t>ALBARRAN CRUZ ANA ALEJANDRA</t>
  </si>
  <si>
    <t>RANGEL HERNANDEZ MARISOL</t>
  </si>
  <si>
    <t>MOISEN BRAVO GERARDO</t>
  </si>
  <si>
    <t>RODRIGUEZ SANTANA CARLOS ALBERTO</t>
  </si>
  <si>
    <t>DIAZ SAAVEDRA JORGE MAURICIO</t>
  </si>
  <si>
    <t>GUZMAN CASANOVA CARLOS</t>
  </si>
  <si>
    <t>PADILLA RAMOS DANIEL MICHELL</t>
  </si>
  <si>
    <t>MUNGUIA AGUILAR KAREN</t>
  </si>
  <si>
    <t>FLORES GALLEGOS GABRIELA</t>
  </si>
  <si>
    <t>JAIMEZ AGUIRRE JOSHUA ANUAR</t>
  </si>
  <si>
    <t>TRANQUILINO MARTINEZ ERICK</t>
  </si>
  <si>
    <t>MENDEZ SALDAÑA HECTOR ADRIAN</t>
  </si>
  <si>
    <t>PAREDES FLORES ILIANA ISABEL</t>
  </si>
  <si>
    <t>LIMA MOLINA CAROLINA YVETTE</t>
  </si>
  <si>
    <t>MARTINEZ VAZQUEZ ERIKA GABRELA</t>
  </si>
  <si>
    <t>RAMIREZ BERISTAIN EUNICE ALTAGRACIA</t>
  </si>
  <si>
    <t>CHAVEZ CERVANTES GABRIELA</t>
  </si>
  <si>
    <t>FONTICOBA FOYO ANA LAURA</t>
  </si>
  <si>
    <t>RODRIGUEZ MUÑOZ KAREN sinahi</t>
  </si>
  <si>
    <t>VAZQUEZ MARTINEZ JAVIER</t>
  </si>
  <si>
    <t>DUPEROU LUNA PAULINA</t>
  </si>
  <si>
    <t>TELLO LOPEZ ANA YAREDDY</t>
  </si>
  <si>
    <t>REYES ARAGON LETICIA</t>
  </si>
  <si>
    <t>ESTRADA SANCHEZ ROYKER JOSE</t>
  </si>
  <si>
    <t>PEREZ SANCHEZ ANDRES EDUARDO</t>
  </si>
  <si>
    <t>GARCIA ALONSO CESAR MARTIN</t>
  </si>
  <si>
    <t>ZAMORA LOERA JUAN MANUEL</t>
  </si>
  <si>
    <t>BELTRAN VARGAS MARIANA</t>
  </si>
  <si>
    <t>QUIROGA ESPINOZA IRVING ISRAEL</t>
  </si>
  <si>
    <t>LEDESMA MUÑOZ BRANDOM RAFAEL</t>
  </si>
  <si>
    <t>ROJAS FIGUEROA HANSEL OLIVER</t>
  </si>
  <si>
    <t>SOTO EVARISTO JORGE ADRIAN</t>
  </si>
  <si>
    <t>DELGADO RANGEL LUIS EDUARDO</t>
  </si>
  <si>
    <t>CALZADILLA COLUMBIE CIR CIBELIS</t>
  </si>
  <si>
    <t>CRUZ NARANJO ERIKA YAZMIN</t>
  </si>
  <si>
    <t>MASCORRO ALPIDE MAXIMILIANO</t>
  </si>
  <si>
    <t>RODRIGUEZ GARCIA PEDRO MAURICIO</t>
  </si>
  <si>
    <t>RAMIREZ CRUZ MARIA ISABEL</t>
  </si>
  <si>
    <t>GONZALEZ BETANZOS VICTOR MANUEL</t>
  </si>
  <si>
    <t>MIRANDA SOSA JOSE LUIS</t>
  </si>
  <si>
    <t>AGUEDA ALTUZAR JUAN DIEGO</t>
  </si>
  <si>
    <t>PEÑALOZA VARGAS DANIELA</t>
  </si>
  <si>
    <t>SANCHEZ HERNANDEZ MARGARITO</t>
  </si>
  <si>
    <t>ROBLES ROMERO MANUEL EDUARD</t>
  </si>
  <si>
    <t>PEÑA PORTILLO JUAN PABLO</t>
  </si>
  <si>
    <t>JIMENEZ GIL BERENICE</t>
  </si>
  <si>
    <t>AGUILAR SOTO ALBERTO ISRAEL</t>
  </si>
  <si>
    <t>BERNAL FRANCISCO IRERI</t>
  </si>
  <si>
    <t>VILLEGAS MARTINEZ LUIS EDUARDO</t>
  </si>
  <si>
    <t>VILLASEÑOR GARDUÑO DIEGO ANGEL</t>
  </si>
  <si>
    <t>GARCIA GUTIERREZ SANTIAGO</t>
  </si>
  <si>
    <t>GOMEZ GARCIA SUADI ELIZABETH</t>
  </si>
  <si>
    <t>VARGAS ARTEAGA JABNIA ZARET</t>
  </si>
  <si>
    <t>DELGADO REYES ARELI</t>
  </si>
  <si>
    <t>ESCALANTE RODRIGUEZ ALONDRA LIZBETH</t>
  </si>
  <si>
    <t>HERNANDEZ SANCHEZ MARILYN VANESSA</t>
  </si>
  <si>
    <t>VELAZQUEZ ESQUIPULA ESMERALDA</t>
  </si>
  <si>
    <t>COLIN PEREZ RICARDO</t>
  </si>
  <si>
    <t>NARVAEZ OROPEZA MARCO POLO</t>
  </si>
  <si>
    <t>CAMPOS HERNANDEZ FABIOLA ROCIO</t>
  </si>
  <si>
    <t>FECHA DE ALTA</t>
  </si>
  <si>
    <t>MALDONADO ESQUIVEL BERENICE</t>
  </si>
  <si>
    <t>BAUTISTA MARTINEZ GERMAN EDUARDO</t>
  </si>
  <si>
    <t>LOPEZ PEREZ BLANCA ROSA</t>
  </si>
  <si>
    <t>JURADO CASTRO ALI CLAY</t>
  </si>
  <si>
    <t>HIDALGO AYANEGUI ADRIAN</t>
  </si>
  <si>
    <t>HERNANDEZ GONZALEZ MARIA DEL CARMEN</t>
  </si>
  <si>
    <t>CRUZ GUERRERO ROBERTO</t>
  </si>
  <si>
    <t>BALLESTEROS ZAMORA JOSE DE JESUS</t>
  </si>
  <si>
    <t>CARMONA MENDOZA ALEXIS RAUL</t>
  </si>
  <si>
    <t>GUERRERO VELAZQUEZ MARTHA ALEJANDRA</t>
  </si>
  <si>
    <t>GIRON MORALES ALEJANDRO</t>
  </si>
  <si>
    <t>AGUILAR CASTELLANOS ANGEL ABISAI</t>
  </si>
  <si>
    <t>GARCIA GARCIA ANA JOSELYNE</t>
  </si>
  <si>
    <t>LOPEZ PEREZ MARIELA</t>
  </si>
  <si>
    <t>LUCIO CISNEROS ANGEL ALBERTO</t>
  </si>
  <si>
    <t>PEREZ VARGAS OSCAR</t>
  </si>
  <si>
    <t>HERNANDEZ CHAMORRO GERARDO ARTEMIO</t>
  </si>
  <si>
    <t>HERNANDEZ MELEZA ELIZABETH</t>
  </si>
  <si>
    <t>MENDOZA SANCHEZ YETLANEZI</t>
  </si>
  <si>
    <t>SILVA REAL MONICA</t>
  </si>
  <si>
    <t>BRAVO QUIJANO MARIO GONZALO</t>
  </si>
  <si>
    <t>MONTERREY RAMOS ELIZABETH ESTEFANI</t>
  </si>
  <si>
    <t>RIVAS LADINOS ANGELICA</t>
  </si>
  <si>
    <t>JIMENEZ ROMERO JUAN ANTONIO</t>
  </si>
  <si>
    <t>GUTIERREZ SEGUNDO BRANDON</t>
  </si>
  <si>
    <t>MARTIÑON ARRIAGA ELIZABETH</t>
  </si>
  <si>
    <t>SANCHEZ REYES ANAHI</t>
  </si>
  <si>
    <t>TELLEZ SAUCEDO DANTE DAVID</t>
  </si>
  <si>
    <t>HERNANDEZ BRAVO RACIEL</t>
  </si>
  <si>
    <t>DIAZ MARTINEZ MONICA GUADALUPE</t>
  </si>
  <si>
    <t>ZAMORA SALAS DENISSE AREIDY</t>
  </si>
  <si>
    <t>CARREON CIRIACO ILSE WENDY</t>
  </si>
  <si>
    <t>DIAS TOMADOS</t>
  </si>
  <si>
    <t>SALDO DE VACACIONES</t>
  </si>
  <si>
    <t>(No column name)</t>
  </si>
  <si>
    <t>nomina</t>
  </si>
  <si>
    <t>correo</t>
  </si>
  <si>
    <t>7@grupolefarma.com.mx</t>
  </si>
  <si>
    <t>1a26@asokam.mx</t>
  </si>
  <si>
    <t>1a25@asokam.mx</t>
  </si>
  <si>
    <t>1a129@asokam.mx</t>
  </si>
  <si>
    <t>1a1@asokam.mx</t>
  </si>
  <si>
    <t>1a42@asokam.mx</t>
  </si>
  <si>
    <t>33@grupolefarma.com.mx</t>
  </si>
  <si>
    <t>1a900@asokam.mx</t>
  </si>
  <si>
    <t>43@grupolefarma.com.mx</t>
  </si>
  <si>
    <t>40@grupolefarma.com.mx</t>
  </si>
  <si>
    <t>5@grupolefarma.com.mx</t>
  </si>
  <si>
    <t>26@grupolefarma.com.mx</t>
  </si>
  <si>
    <t>1a41@asokam.mx</t>
  </si>
  <si>
    <t>1cm904@construmedika.com</t>
  </si>
  <si>
    <t>1cm903@construmedika.com</t>
  </si>
  <si>
    <t>1cm902@construmedika.com</t>
  </si>
  <si>
    <t>JAIMES AGUIRRE JOSHUA ANUAR</t>
  </si>
  <si>
    <t>17@grupolefarma.com.mx</t>
  </si>
  <si>
    <t>2g9@lefarma.com.mx</t>
  </si>
  <si>
    <t>2g12@lefarma.com.mx</t>
  </si>
  <si>
    <t>VAZQUEZ MELLADO OCTAVIO ATILANO</t>
  </si>
  <si>
    <t>2g3@lefarma.com.mx</t>
  </si>
  <si>
    <t>2g8@lefarma.com.mx</t>
  </si>
  <si>
    <t>2g6@lefarma.com.mx</t>
  </si>
  <si>
    <t>2g14@lefarma.com.mx</t>
  </si>
  <si>
    <t>2g2@lefarma.com.mx</t>
  </si>
  <si>
    <t>2g13@lefarma.com.mx</t>
  </si>
  <si>
    <t>52@grupolefarma.com.mx</t>
  </si>
  <si>
    <t>2g900@lefarma.com.mx</t>
  </si>
  <si>
    <t>2g901@lefarma.com.mx</t>
  </si>
  <si>
    <t>10@grupolefarma.com.mx</t>
  </si>
  <si>
    <t>1a11@asokam.mx</t>
  </si>
  <si>
    <t>2g22@lefarma.com.mx</t>
  </si>
  <si>
    <t>1a10@asokam.mx</t>
  </si>
  <si>
    <t>30@grupolefarma.com.mx</t>
  </si>
  <si>
    <t>1r22@artricenter.com.mx</t>
  </si>
  <si>
    <t>1r2@artricenter.com.mx</t>
  </si>
  <si>
    <t>2z28@artricenter.com.mx</t>
  </si>
  <si>
    <t>1r21@artricenter.com.mx</t>
  </si>
  <si>
    <t>1r26@artricenter.com.mx</t>
  </si>
  <si>
    <t>1r18@artricenter.com.mx</t>
  </si>
  <si>
    <t>1r36@artricenter.com.mx</t>
  </si>
  <si>
    <t>1r20@artricenter.com.mx</t>
  </si>
  <si>
    <t>1r30@artricenter.com.mx</t>
  </si>
  <si>
    <t>1r16@artricenter.com.mx</t>
  </si>
  <si>
    <t>3a14@artricenter.com.mx</t>
  </si>
  <si>
    <t>1r14@artricenter.com.mx</t>
  </si>
  <si>
    <t>2z12@artricenter.com.mx</t>
  </si>
  <si>
    <t>r2@artricenter.com.mx</t>
  </si>
  <si>
    <t>1r903@artricenter.com.mx</t>
  </si>
  <si>
    <t>cat2@artricenter.com.mx</t>
  </si>
  <si>
    <t>cat4@artricenter.com.mx</t>
  </si>
  <si>
    <t>cat10@artricenter.com.mx</t>
  </si>
  <si>
    <t>cat5@artricenter.com.mx</t>
  </si>
  <si>
    <t>cat7@artricenter.com.mx</t>
  </si>
  <si>
    <t>2z27@artricenter.com.mx</t>
  </si>
  <si>
    <t>3a1@artricenter.com.mx</t>
  </si>
  <si>
    <t>3a23@artricenter.com.mx</t>
  </si>
  <si>
    <t>3a16@artricenter.com.mx</t>
  </si>
  <si>
    <t>3a7@artricenter.com.mx</t>
  </si>
  <si>
    <t>3a10@artricenter.com.mx</t>
  </si>
  <si>
    <t>3a903@artricenter.com.mx</t>
  </si>
  <si>
    <t>3a18@artricenter.com.mx</t>
  </si>
  <si>
    <t>3a13@artricenter.com.mx</t>
  </si>
  <si>
    <t>1r28@artricenter.com.mx</t>
  </si>
  <si>
    <t>3a11@artricenter.com.mx</t>
  </si>
  <si>
    <t>29@grupolefarma.com.mx</t>
  </si>
  <si>
    <t>4v16@artricenter.com.mx</t>
  </si>
  <si>
    <t>4v9@artricenter.com.mx</t>
  </si>
  <si>
    <t>2z5@artricenter.com.mx</t>
  </si>
  <si>
    <t>4v904@artricenter.com.mx</t>
  </si>
  <si>
    <t>4v11@artricenter.com.mx</t>
  </si>
  <si>
    <t>2z8@artricenter.com.mx</t>
  </si>
  <si>
    <t>4v17@artricenter.com.mx</t>
  </si>
  <si>
    <t>4v13@artricenter.com.mx</t>
  </si>
  <si>
    <t>2z7@artricenter.com.mx</t>
  </si>
  <si>
    <t>4v12@artricenter.com.mx</t>
  </si>
  <si>
    <t>2z11@artricenter.com.mx</t>
  </si>
  <si>
    <t>4v18@artricenter.com.mx</t>
  </si>
  <si>
    <t>1cm5@construmedika.com</t>
  </si>
  <si>
    <t>1cm11@construmedika.com</t>
  </si>
  <si>
    <t>1r906@artricenter.com.mx</t>
  </si>
  <si>
    <t>cc3@artricenter.com.mx</t>
  </si>
  <si>
    <t>cc23@artricenter.com.mx</t>
  </si>
  <si>
    <t>cc7@artricenter.com.mx</t>
  </si>
  <si>
    <t>RODRIGUEZ MUÑOZ KAREN</t>
  </si>
  <si>
    <t>cc4@artricenter.com.mx</t>
  </si>
  <si>
    <t>cc27@artricenter.com.mx</t>
  </si>
  <si>
    <t>1cm2@construmedika.com</t>
  </si>
  <si>
    <t>1a9@asokam.mx</t>
  </si>
  <si>
    <t>35@grupolefarma.com.mx</t>
  </si>
  <si>
    <t>3a12@artricenter.com.mx</t>
  </si>
  <si>
    <t>54@grupolefarma.com.mx</t>
  </si>
  <si>
    <t>9@grupolefarma.com.mx</t>
  </si>
  <si>
    <t>1a40@asokam.mx</t>
  </si>
  <si>
    <t>1a47@asokam.mx</t>
  </si>
  <si>
    <t>1a19@asokam.mx</t>
  </si>
  <si>
    <t>1a4@asokam.mx</t>
  </si>
  <si>
    <t>24@grupolefarma.com.mx</t>
  </si>
  <si>
    <t>MUÑOZ PADILLA GERARDO</t>
  </si>
  <si>
    <t>1a103@asokam.mx</t>
  </si>
  <si>
    <t>GONZALEZ CASTILLO MARCO ANTONIO</t>
  </si>
  <si>
    <t>1a2@asokam.mx</t>
  </si>
  <si>
    <t>cat14@artricenter.com.mx</t>
  </si>
  <si>
    <t>15@grupolefarma.com.mx</t>
  </si>
  <si>
    <t>42@grupolefarma.com.mx</t>
  </si>
  <si>
    <t>4@grupolefarma.com.mx</t>
  </si>
  <si>
    <t>1cm13@construmedika.com</t>
  </si>
  <si>
    <t>11@grupolefarma.com.mx</t>
  </si>
  <si>
    <t>21@grupolefarma.com.mx</t>
  </si>
  <si>
    <t>22@grupolefarma.com.mx</t>
  </si>
  <si>
    <t>1cm900@construmedika.com</t>
  </si>
  <si>
    <t>1cm901@construmedika.com</t>
  </si>
  <si>
    <t>4v905@artricenter.com.mx</t>
  </si>
  <si>
    <t>1r900@artricenter.com.mx</t>
  </si>
  <si>
    <t>ALVAREZ GUEVARA MA LUCIA</t>
  </si>
  <si>
    <t>3a900@artricenter.com.mx</t>
  </si>
  <si>
    <t>1a34@asokam.mx</t>
  </si>
  <si>
    <t>YAÑEZ MORENO ALMA YELLI</t>
  </si>
  <si>
    <t>1a15@asokam.mx</t>
  </si>
  <si>
    <t>1a21@asokam.mx</t>
  </si>
  <si>
    <t>1a16@asokam.mx</t>
  </si>
  <si>
    <t>2g4@lefarma.com.mx</t>
  </si>
  <si>
    <t>1a32@asokam.mx</t>
  </si>
  <si>
    <t>4v902@artricenter.com.mx</t>
  </si>
  <si>
    <t>4v903@artricenter.com.mx</t>
  </si>
  <si>
    <t>LOPEZ LOPEZ MARIBEL</t>
  </si>
  <si>
    <t>baja_na24@artricenter.com.mx</t>
  </si>
  <si>
    <t>1a18@asokam.mx</t>
  </si>
  <si>
    <t>4v900@artricenter.com.mx</t>
  </si>
  <si>
    <t>23@grupolefarma.com.mx</t>
  </si>
  <si>
    <t>1r29@artricenter.com.mx</t>
  </si>
  <si>
    <t>MARTINEZ VAZQUEZ ERIKA GABRIELA</t>
  </si>
  <si>
    <t>32@grupolefarma.com.mx</t>
  </si>
  <si>
    <t>1r902@artricenter.com.mx</t>
  </si>
  <si>
    <t>3@grupolefarma.com.mx</t>
  </si>
  <si>
    <t>2g10@lefarma.com.mx</t>
  </si>
  <si>
    <t>3a24@artricenter.com.mx</t>
  </si>
  <si>
    <t>cat8@artricenter.com.mx</t>
  </si>
  <si>
    <t>2g20@lefarma.com.mx</t>
  </si>
  <si>
    <t>4v21@artricenter.com.mx</t>
  </si>
  <si>
    <t>2g21@lefarma.com.mx</t>
  </si>
  <si>
    <t>1r32@artricenter.com.mx</t>
  </si>
  <si>
    <t>1a12@asokam.mx</t>
  </si>
  <si>
    <t>3a21@artricenter.com.mx</t>
  </si>
  <si>
    <t>cat11@artricenter.com.mx</t>
  </si>
  <si>
    <t>1cm3@construmedika.com</t>
  </si>
  <si>
    <t>6@grupolefarma.com.mx</t>
  </si>
  <si>
    <t>1a33@asokam.mx</t>
  </si>
  <si>
    <t>3a22@artricenter.com.mx</t>
  </si>
  <si>
    <t>CALZADILLA COLUMBIE CIRA CIBELES</t>
  </si>
  <si>
    <t>3a28@artricenter.com.mx</t>
  </si>
  <si>
    <t>3a904@artricenter.com.mx</t>
  </si>
  <si>
    <t>1a48@asokam.mx</t>
  </si>
  <si>
    <t>1a130@asokam.mx</t>
  </si>
  <si>
    <t>cat9@artricenter.com.mx</t>
  </si>
  <si>
    <t>1a22@asokam.mx</t>
  </si>
  <si>
    <t>1cm4@construmedika.com</t>
  </si>
  <si>
    <t>1r5@artricenter.com.mx</t>
  </si>
  <si>
    <t>4v901@artricenter.com.mx</t>
  </si>
  <si>
    <t>ROBLES ROMERO MANUEL EDUARDO</t>
  </si>
  <si>
    <t>4v14@artricenter.com.mx</t>
  </si>
  <si>
    <t>1a27@asokam.mx</t>
  </si>
  <si>
    <t>19@grupolefarma.com.mx</t>
  </si>
  <si>
    <t>1a14@asokam.mx</t>
  </si>
  <si>
    <t>14@grupolefarma.com.mx</t>
  </si>
  <si>
    <t>4v32@artricenter.com.mx</t>
  </si>
  <si>
    <t>41@grupolefarma.com.mx</t>
  </si>
  <si>
    <t>1a6@asokam.mx</t>
  </si>
  <si>
    <t>GOMEZ GARCIA SAUDI ELIZABETH</t>
  </si>
  <si>
    <t>cat12@artricenter.com.mx</t>
  </si>
  <si>
    <t>4v8@artricenter.com.mx</t>
  </si>
  <si>
    <t>1r27@artricenter.com.mx</t>
  </si>
  <si>
    <t>4v19@artricenter.com.mx</t>
  </si>
  <si>
    <t>3a19@artricenter.com.mx</t>
  </si>
  <si>
    <t>3a20@artricenter.com.mx</t>
  </si>
  <si>
    <t>44@grupolefarma.com.mx</t>
  </si>
  <si>
    <t>45@grupolefarma.com.mx</t>
  </si>
  <si>
    <t>3a25@artricenter.com.mx</t>
  </si>
  <si>
    <t>36@grupolefarma.com.mx</t>
  </si>
  <si>
    <t>50@grupolefarma.com.mx</t>
  </si>
  <si>
    <t>cat3@artricenter.com.mx</t>
  </si>
  <si>
    <t>1r17@artricenter.com.mx</t>
  </si>
  <si>
    <t>1a902@asokam.mx</t>
  </si>
  <si>
    <t>1r13@artricenter.com.mx</t>
  </si>
  <si>
    <t>1a903@asokam.mx</t>
  </si>
  <si>
    <t>CARDENAS CHAVARRIA ARACELI</t>
  </si>
  <si>
    <t>1a124@asokam.mx</t>
  </si>
  <si>
    <t>ANAYA GARCIA MARTHA ALICIA</t>
  </si>
  <si>
    <t>1c37@asokam.mx</t>
  </si>
  <si>
    <t>HERNANDEZ CHAMARO GERARDO ARTEMIO</t>
  </si>
  <si>
    <t>4v3@artricenter.com.mx</t>
  </si>
  <si>
    <t>2g11@lefarma.com.mx</t>
  </si>
  <si>
    <t>1a904@asokam.mx</t>
  </si>
  <si>
    <t>1a17@asokam.mx</t>
  </si>
  <si>
    <t>4v7@artricenter.com.mx</t>
  </si>
  <si>
    <t>3a17@artricenter.com.mx</t>
  </si>
  <si>
    <t>cc9@artricenter.com.mx</t>
  </si>
  <si>
    <t>2z13@artricenter.com.mx</t>
  </si>
  <si>
    <t>r6@artricenter.com.mx</t>
  </si>
  <si>
    <t>1a37@asokam.mx</t>
  </si>
  <si>
    <t>1r11@artricenter.com.mx</t>
  </si>
  <si>
    <t>3a902@artricenter.com.mx</t>
  </si>
  <si>
    <t>1a901@asokam.mx</t>
  </si>
  <si>
    <t>1cm6@construmedika.com</t>
  </si>
  <si>
    <t>4v15@artricenter.com.mx</t>
  </si>
  <si>
    <t>PEREZ MARTINEZ CARLOS</t>
  </si>
  <si>
    <t>NULL</t>
  </si>
  <si>
    <t>ARJONA LEYVA ARTURO</t>
  </si>
  <si>
    <t>3a6@artricenter.com.mx</t>
  </si>
  <si>
    <t>CADENA BARRERA ANGEL REMEDIOS</t>
  </si>
  <si>
    <t>1a28@asokam.mx</t>
  </si>
  <si>
    <t>ARTEAGA ISLAS YESENIA</t>
  </si>
  <si>
    <t>cc11@artricenter.com.mx</t>
  </si>
  <si>
    <t>GALINDO RUIZ ABRAHAM</t>
  </si>
  <si>
    <t>r8@artricenter.com.mx</t>
  </si>
  <si>
    <t>SANCHEZ MIRANDA HILDA</t>
  </si>
  <si>
    <t>na54@artricenter.com.mx</t>
  </si>
  <si>
    <t>LOPEZ SANCHEZ DIEGO IVAN</t>
  </si>
  <si>
    <t>ALDARACA CHAVEZ ANDREA</t>
  </si>
  <si>
    <t>CARREÑO RICO MELISA</t>
  </si>
  <si>
    <t>1r10@artricenter.com.mx</t>
  </si>
  <si>
    <t>NOLASCO MIRANDA MIRIAM</t>
  </si>
  <si>
    <t>r11@artricenter.com.mx</t>
  </si>
  <si>
    <t>CHAVELAS PADILLA MARIA CAROLINA</t>
  </si>
  <si>
    <t>CANELO PARRA CARLOS ANTONIO</t>
  </si>
  <si>
    <t>COSIO CABRERA EMMANUEL</t>
  </si>
  <si>
    <t>1a38@asokam.mx</t>
  </si>
  <si>
    <t>VAZQUEZ MARTINEZ JORGE</t>
  </si>
  <si>
    <t>GONZALEZ GUZMAN LESLIE SULAMITH</t>
  </si>
  <si>
    <t>ZAPOT TEMICH JOSE ALBERTO</t>
  </si>
  <si>
    <t>MENDEZ HERNANDEZ LILIA ITZEL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</si>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</sst>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8"/>
      <color rgb="FF92D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left"/>
    </xf>
    <xf numFmtId="0" fontId="4" fillId="2" borderId="7" xfId="0" applyFont="1" applyFill="1" applyBorder="1"/>
    <xf numFmtId="0" fontId="4" fillId="2" borderId="9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/>
    </xf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1" fontId="4" fillId="2" borderId="1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4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"/>
  <sheetViews>
    <sheetView workbookViewId="0">
      <pane xSplit="1" topLeftCell="B1" activePane="topRight" state="frozen"/>
      <selection pane="topRight" activeCell="B18" sqref="B18"/>
    </sheetView>
  </sheetViews>
  <sheetFormatPr baseColWidth="10" defaultRowHeight="12.75" x14ac:dyDescent="0.2"/>
  <cols>
    <col min="1" max="1" width="1.28515625" style="12" customWidth="1"/>
    <col min="2" max="2" width="36.28515625" style="10" customWidth="1"/>
    <col min="3" max="3" width="15" style="2" customWidth="1"/>
    <col min="4" max="4" width="12.140625" style="10" customWidth="1"/>
    <col min="5" max="5" width="15.140625" style="2" customWidth="1"/>
    <col min="6" max="6" width="15.140625" style="19" bestFit="1" customWidth="1"/>
    <col min="7" max="7" width="23.42578125" style="10" bestFit="1" customWidth="1"/>
    <col min="8" max="9" width="11.42578125" style="2"/>
    <col min="10" max="16384" width="11.42578125" style="10"/>
  </cols>
  <sheetData>
    <row r="1" spans="1:9" ht="11.25" customHeight="1" x14ac:dyDescent="0.2">
      <c r="B1" s="22" t="s">
        <v>1</v>
      </c>
      <c r="C1" s="22" t="s">
        <v>170</v>
      </c>
      <c r="E1" s="25"/>
      <c r="F1" s="24"/>
    </row>
    <row r="2" spans="1:9" ht="15" customHeight="1" thickBot="1" x14ac:dyDescent="0.25">
      <c r="B2" s="23"/>
      <c r="C2" s="23"/>
      <c r="E2" s="25"/>
      <c r="F2" s="24"/>
    </row>
    <row r="3" spans="1:9" s="11" customFormat="1" ht="12" customHeight="1" x14ac:dyDescent="0.2">
      <c r="A3" s="13"/>
      <c r="B3" s="7" t="s">
        <v>2</v>
      </c>
      <c r="C3" s="14">
        <v>0</v>
      </c>
      <c r="E3" s="18"/>
      <c r="F3" s="20"/>
      <c r="G3" s="18"/>
      <c r="H3" s="18"/>
      <c r="I3" s="21"/>
    </row>
    <row r="4" spans="1:9" s="11" customFormat="1" ht="11.25" x14ac:dyDescent="0.2">
      <c r="A4" s="13"/>
      <c r="B4" s="8" t="s">
        <v>150</v>
      </c>
      <c r="C4" s="15">
        <v>1</v>
      </c>
      <c r="E4" s="18"/>
      <c r="F4" s="20"/>
      <c r="G4" s="18"/>
      <c r="H4" s="18"/>
      <c r="I4" s="21"/>
    </row>
    <row r="5" spans="1:9" s="11" customFormat="1" ht="11.25" x14ac:dyDescent="0.2">
      <c r="A5" s="13"/>
      <c r="B5" s="8" t="s">
        <v>3</v>
      </c>
      <c r="C5" s="15">
        <v>30</v>
      </c>
      <c r="E5" s="18"/>
      <c r="F5" s="20"/>
      <c r="G5" s="18"/>
      <c r="H5" s="18"/>
      <c r="I5" s="21"/>
    </row>
    <row r="6" spans="1:9" s="11" customFormat="1" ht="11.25" x14ac:dyDescent="0.2">
      <c r="A6" s="13"/>
      <c r="B6" s="4" t="s">
        <v>156</v>
      </c>
      <c r="C6" s="15">
        <v>3</v>
      </c>
      <c r="E6" s="18"/>
      <c r="F6" s="20"/>
      <c r="G6" s="18"/>
      <c r="H6" s="18"/>
      <c r="I6" s="21"/>
    </row>
    <row r="7" spans="1:9" s="11" customFormat="1" ht="11.25" x14ac:dyDescent="0.2">
      <c r="A7" s="13"/>
      <c r="B7" s="4" t="s">
        <v>110</v>
      </c>
      <c r="C7" s="15">
        <v>0</v>
      </c>
      <c r="E7" s="18"/>
      <c r="F7" s="20"/>
      <c r="G7" s="18"/>
      <c r="H7" s="18"/>
      <c r="I7" s="21"/>
    </row>
    <row r="8" spans="1:9" s="11" customFormat="1" ht="11.25" x14ac:dyDescent="0.2">
      <c r="A8" s="13"/>
      <c r="B8" s="4" t="s">
        <v>7</v>
      </c>
      <c r="C8" s="15">
        <v>18</v>
      </c>
      <c r="E8" s="18"/>
      <c r="F8" s="20"/>
      <c r="G8" s="18"/>
      <c r="H8" s="18"/>
      <c r="I8" s="21"/>
    </row>
    <row r="9" spans="1:9" s="11" customFormat="1" ht="11.25" x14ac:dyDescent="0.2">
      <c r="A9" s="13"/>
      <c r="B9" s="4" t="s">
        <v>8</v>
      </c>
      <c r="C9" s="15">
        <v>8</v>
      </c>
      <c r="E9" s="18"/>
      <c r="F9" s="20"/>
      <c r="G9" s="18"/>
      <c r="H9" s="18"/>
      <c r="I9" s="21"/>
    </row>
    <row r="10" spans="1:9" s="11" customFormat="1" ht="11.25" x14ac:dyDescent="0.2">
      <c r="A10" s="13"/>
      <c r="B10" s="4" t="s">
        <v>107</v>
      </c>
      <c r="C10" s="15">
        <v>1</v>
      </c>
      <c r="E10" s="18"/>
      <c r="F10" s="20"/>
      <c r="G10" s="18"/>
      <c r="H10" s="18"/>
      <c r="I10" s="21"/>
    </row>
    <row r="11" spans="1:9" s="11" customFormat="1" ht="11.25" x14ac:dyDescent="0.2">
      <c r="A11" s="13"/>
      <c r="B11" s="5" t="s">
        <v>10</v>
      </c>
      <c r="C11" s="15">
        <v>61</v>
      </c>
      <c r="E11" s="18"/>
      <c r="F11" s="20"/>
      <c r="G11" s="18"/>
      <c r="H11" s="18"/>
      <c r="I11" s="21"/>
    </row>
    <row r="12" spans="1:9" s="11" customFormat="1" ht="11.25" x14ac:dyDescent="0.2">
      <c r="A12" s="13"/>
      <c r="B12" s="4" t="s">
        <v>178</v>
      </c>
      <c r="C12" s="15">
        <v>0</v>
      </c>
      <c r="E12" s="18"/>
      <c r="F12" s="20"/>
      <c r="G12" s="18"/>
      <c r="H12" s="18"/>
      <c r="I12" s="21"/>
    </row>
    <row r="13" spans="1:9" s="11" customFormat="1" ht="11.25" x14ac:dyDescent="0.2">
      <c r="A13" s="13"/>
      <c r="B13" s="4" t="s">
        <v>172</v>
      </c>
      <c r="C13" s="15">
        <v>-8</v>
      </c>
      <c r="E13" s="18"/>
      <c r="F13" s="20"/>
      <c r="G13" s="18"/>
      <c r="H13" s="18"/>
      <c r="I13" s="21"/>
    </row>
    <row r="14" spans="1:9" s="11" customFormat="1" ht="11.25" x14ac:dyDescent="0.2">
      <c r="A14" s="13"/>
      <c r="B14" s="4" t="s">
        <v>13</v>
      </c>
      <c r="C14" s="15">
        <v>9</v>
      </c>
      <c r="E14" s="18"/>
      <c r="F14" s="20"/>
      <c r="G14" s="18"/>
      <c r="H14" s="18"/>
      <c r="I14" s="21"/>
    </row>
    <row r="15" spans="1:9" s="11" customFormat="1" ht="11.25" x14ac:dyDescent="0.2">
      <c r="A15" s="13"/>
      <c r="B15" s="5" t="s">
        <v>14</v>
      </c>
      <c r="C15" s="15">
        <v>129</v>
      </c>
      <c r="E15" s="18"/>
      <c r="F15" s="20"/>
      <c r="G15" s="18"/>
      <c r="H15" s="18"/>
      <c r="I15" s="21"/>
    </row>
    <row r="16" spans="1:9" s="11" customFormat="1" ht="11.25" x14ac:dyDescent="0.2">
      <c r="A16" s="13"/>
      <c r="B16" s="4" t="s">
        <v>179</v>
      </c>
      <c r="C16" s="15">
        <v>0</v>
      </c>
      <c r="E16" s="18"/>
      <c r="F16" s="20"/>
      <c r="G16" s="18"/>
      <c r="H16" s="18"/>
      <c r="I16" s="21"/>
    </row>
    <row r="17" spans="1:9" s="11" customFormat="1" ht="11.25" x14ac:dyDescent="0.2">
      <c r="A17" s="13"/>
      <c r="B17" s="4" t="s">
        <v>15</v>
      </c>
      <c r="C17" s="15">
        <v>23</v>
      </c>
      <c r="E17" s="18"/>
      <c r="F17" s="20"/>
      <c r="G17" s="18"/>
      <c r="H17" s="18"/>
      <c r="I17" s="21"/>
    </row>
    <row r="18" spans="1:9" s="11" customFormat="1" ht="11.25" x14ac:dyDescent="0.2">
      <c r="A18" s="13"/>
      <c r="B18" s="4" t="s">
        <v>16</v>
      </c>
      <c r="C18" s="15">
        <v>6</v>
      </c>
      <c r="E18" s="18"/>
      <c r="F18" s="20"/>
      <c r="G18" s="18"/>
      <c r="H18" s="18"/>
      <c r="I18" s="21"/>
    </row>
    <row r="19" spans="1:9" s="11" customFormat="1" ht="11.25" x14ac:dyDescent="0.2">
      <c r="A19" s="13"/>
      <c r="B19" s="4" t="s">
        <v>126</v>
      </c>
      <c r="C19" s="15">
        <v>-4</v>
      </c>
      <c r="E19" s="18"/>
      <c r="F19" s="20"/>
      <c r="G19" s="18"/>
      <c r="H19" s="18"/>
      <c r="I19" s="21"/>
    </row>
    <row r="20" spans="1:9" s="11" customFormat="1" ht="11.25" x14ac:dyDescent="0.2">
      <c r="A20" s="13"/>
      <c r="B20" s="4" t="s">
        <v>19</v>
      </c>
      <c r="C20" s="15">
        <v>-10</v>
      </c>
      <c r="E20" s="18"/>
      <c r="F20" s="20"/>
      <c r="G20" s="18"/>
      <c r="H20" s="18"/>
      <c r="I20" s="21"/>
    </row>
    <row r="21" spans="1:9" s="11" customFormat="1" ht="11.25" x14ac:dyDescent="0.2">
      <c r="A21" s="13"/>
      <c r="B21" s="4" t="s">
        <v>177</v>
      </c>
      <c r="C21" s="15">
        <v>0</v>
      </c>
      <c r="E21" s="18"/>
      <c r="F21" s="20"/>
      <c r="G21" s="18"/>
      <c r="H21" s="18"/>
      <c r="I21" s="21"/>
    </row>
    <row r="22" spans="1:9" s="11" customFormat="1" ht="11.25" x14ac:dyDescent="0.2">
      <c r="A22" s="13"/>
      <c r="B22" s="5" t="s">
        <v>26</v>
      </c>
      <c r="C22" s="15">
        <v>136</v>
      </c>
      <c r="E22" s="18"/>
      <c r="F22" s="20"/>
      <c r="G22" s="18"/>
      <c r="H22" s="18"/>
      <c r="I22" s="21"/>
    </row>
    <row r="23" spans="1:9" s="11" customFormat="1" ht="11.25" x14ac:dyDescent="0.2">
      <c r="A23" s="13"/>
      <c r="B23" s="4" t="s">
        <v>114</v>
      </c>
      <c r="C23" s="15">
        <v>-2</v>
      </c>
      <c r="E23" s="18"/>
      <c r="F23" s="20"/>
      <c r="G23" s="18"/>
      <c r="H23" s="18"/>
      <c r="I23" s="21"/>
    </row>
    <row r="24" spans="1:9" s="11" customFormat="1" ht="11.25" x14ac:dyDescent="0.2">
      <c r="A24" s="13"/>
      <c r="B24" s="7" t="s">
        <v>130</v>
      </c>
      <c r="C24" s="15">
        <v>1</v>
      </c>
      <c r="E24" s="18"/>
      <c r="F24" s="20"/>
      <c r="G24" s="18"/>
      <c r="H24" s="18"/>
      <c r="I24" s="21"/>
    </row>
    <row r="25" spans="1:9" s="11" customFormat="1" ht="11.25" x14ac:dyDescent="0.2">
      <c r="A25" s="13"/>
      <c r="B25" s="4" t="s">
        <v>133</v>
      </c>
      <c r="C25" s="15">
        <v>-3</v>
      </c>
      <c r="E25" s="18"/>
      <c r="F25" s="20"/>
      <c r="G25" s="18"/>
      <c r="H25" s="18"/>
      <c r="I25" s="21"/>
    </row>
    <row r="26" spans="1:9" s="11" customFormat="1" ht="11.25" x14ac:dyDescent="0.2">
      <c r="A26" s="13"/>
      <c r="B26" s="4" t="s">
        <v>32</v>
      </c>
      <c r="C26" s="15">
        <v>-3</v>
      </c>
      <c r="E26" s="18"/>
      <c r="F26" s="20"/>
      <c r="G26" s="18"/>
      <c r="H26" s="18"/>
      <c r="I26" s="21"/>
    </row>
    <row r="27" spans="1:9" s="11" customFormat="1" ht="11.25" x14ac:dyDescent="0.2">
      <c r="A27" s="13"/>
      <c r="B27" s="4" t="s">
        <v>135</v>
      </c>
      <c r="C27" s="15">
        <v>-1</v>
      </c>
      <c r="E27" s="18"/>
      <c r="F27" s="20"/>
      <c r="G27" s="18"/>
      <c r="H27" s="18"/>
      <c r="I27" s="21"/>
    </row>
    <row r="28" spans="1:9" s="11" customFormat="1" ht="11.25" x14ac:dyDescent="0.2">
      <c r="A28" s="13"/>
      <c r="B28" s="4" t="s">
        <v>160</v>
      </c>
      <c r="C28" s="15">
        <v>-9</v>
      </c>
      <c r="E28" s="18"/>
      <c r="F28" s="20"/>
      <c r="G28" s="18"/>
      <c r="H28" s="18"/>
      <c r="I28" s="21"/>
    </row>
    <row r="29" spans="1:9" s="11" customFormat="1" ht="11.25" x14ac:dyDescent="0.2">
      <c r="A29" s="13"/>
      <c r="B29" s="4" t="s">
        <v>35</v>
      </c>
      <c r="C29" s="15">
        <v>13</v>
      </c>
      <c r="E29" s="18"/>
      <c r="F29" s="20"/>
      <c r="G29" s="18"/>
      <c r="H29" s="18"/>
      <c r="I29" s="21"/>
    </row>
    <row r="30" spans="1:9" s="11" customFormat="1" ht="11.25" x14ac:dyDescent="0.2">
      <c r="A30" s="13"/>
      <c r="B30" s="4" t="s">
        <v>37</v>
      </c>
      <c r="C30" s="15">
        <v>1</v>
      </c>
      <c r="E30" s="18"/>
      <c r="F30" s="20"/>
      <c r="G30" s="18"/>
      <c r="H30" s="18"/>
      <c r="I30" s="21"/>
    </row>
    <row r="31" spans="1:9" s="11" customFormat="1" ht="11.25" x14ac:dyDescent="0.2">
      <c r="A31" s="13"/>
      <c r="B31" s="4" t="s">
        <v>148</v>
      </c>
      <c r="C31" s="15">
        <v>4</v>
      </c>
      <c r="E31" s="18"/>
      <c r="F31" s="20"/>
      <c r="G31" s="18"/>
      <c r="H31" s="18"/>
      <c r="I31" s="21"/>
    </row>
    <row r="32" spans="1:9" s="11" customFormat="1" ht="11.25" x14ac:dyDescent="0.2">
      <c r="A32" s="13"/>
      <c r="B32" s="4" t="s">
        <v>41</v>
      </c>
      <c r="C32" s="15">
        <v>6</v>
      </c>
      <c r="E32" s="18"/>
      <c r="F32" s="20"/>
      <c r="G32" s="18"/>
      <c r="H32" s="18"/>
      <c r="I32" s="21"/>
    </row>
    <row r="33" spans="1:9" s="11" customFormat="1" ht="11.25" x14ac:dyDescent="0.2">
      <c r="A33" s="13"/>
      <c r="B33" s="4" t="s">
        <v>115</v>
      </c>
      <c r="C33" s="15">
        <v>8</v>
      </c>
      <c r="E33" s="18"/>
      <c r="F33" s="20"/>
      <c r="G33" s="18"/>
      <c r="H33" s="18"/>
      <c r="I33" s="21"/>
    </row>
    <row r="34" spans="1:9" s="11" customFormat="1" ht="11.25" x14ac:dyDescent="0.2">
      <c r="A34" s="13"/>
      <c r="B34" s="4" t="s">
        <v>45</v>
      </c>
      <c r="C34" s="15">
        <v>-8</v>
      </c>
      <c r="E34" s="18"/>
      <c r="F34" s="20"/>
      <c r="G34" s="18"/>
      <c r="H34" s="18"/>
      <c r="I34" s="21"/>
    </row>
    <row r="35" spans="1:9" s="11" customFormat="1" ht="12.75" customHeight="1" x14ac:dyDescent="0.2">
      <c r="A35" s="13"/>
      <c r="B35" s="4" t="s">
        <v>176</v>
      </c>
      <c r="C35" s="15">
        <v>0</v>
      </c>
      <c r="E35" s="18"/>
      <c r="F35" s="20"/>
      <c r="G35" s="18"/>
      <c r="H35" s="18"/>
      <c r="I35" s="21"/>
    </row>
    <row r="36" spans="1:9" s="11" customFormat="1" ht="12.75" customHeight="1" x14ac:dyDescent="0.2">
      <c r="A36" s="13"/>
      <c r="B36" s="5" t="s">
        <v>49</v>
      </c>
      <c r="C36" s="15">
        <v>139</v>
      </c>
      <c r="E36" s="18"/>
      <c r="F36" s="20"/>
      <c r="G36" s="18"/>
      <c r="H36" s="18"/>
      <c r="I36" s="21"/>
    </row>
    <row r="37" spans="1:9" s="11" customFormat="1" ht="12.75" customHeight="1" x14ac:dyDescent="0.2">
      <c r="A37" s="13"/>
      <c r="B37" s="4" t="s">
        <v>175</v>
      </c>
      <c r="C37" s="15">
        <v>-1</v>
      </c>
      <c r="E37" s="18"/>
      <c r="F37" s="20"/>
      <c r="G37" s="18"/>
      <c r="H37" s="18"/>
      <c r="I37" s="21"/>
    </row>
    <row r="38" spans="1:9" s="11" customFormat="1" ht="12.75" customHeight="1" x14ac:dyDescent="0.2">
      <c r="A38" s="13"/>
      <c r="B38" s="4" t="s">
        <v>50</v>
      </c>
      <c r="C38" s="15">
        <v>7</v>
      </c>
      <c r="E38" s="18"/>
      <c r="F38" s="20"/>
      <c r="G38" s="18"/>
      <c r="H38" s="18"/>
      <c r="I38" s="21"/>
    </row>
    <row r="39" spans="1:9" s="11" customFormat="1" ht="12.75" customHeight="1" x14ac:dyDescent="0.2">
      <c r="A39" s="13"/>
      <c r="B39" s="4" t="s">
        <v>104</v>
      </c>
      <c r="C39" s="15">
        <v>-4</v>
      </c>
      <c r="E39" s="18"/>
      <c r="F39" s="20"/>
      <c r="G39" s="18"/>
      <c r="H39" s="18"/>
      <c r="I39" s="21"/>
    </row>
    <row r="40" spans="1:9" s="11" customFormat="1" ht="12.75" customHeight="1" x14ac:dyDescent="0.2">
      <c r="A40" s="13"/>
      <c r="B40" s="4" t="s">
        <v>155</v>
      </c>
      <c r="C40" s="15">
        <v>1</v>
      </c>
      <c r="E40" s="18"/>
      <c r="F40" s="20"/>
      <c r="G40" s="18"/>
      <c r="H40" s="18"/>
      <c r="I40" s="21"/>
    </row>
    <row r="41" spans="1:9" s="11" customFormat="1" ht="12.75" customHeight="1" x14ac:dyDescent="0.2">
      <c r="A41" s="13"/>
      <c r="B41" s="4" t="s">
        <v>174</v>
      </c>
      <c r="C41" s="15">
        <v>0</v>
      </c>
      <c r="E41" s="18"/>
      <c r="F41" s="20"/>
      <c r="G41" s="18"/>
      <c r="H41" s="18"/>
      <c r="I41" s="21"/>
    </row>
    <row r="42" spans="1:9" s="11" customFormat="1" ht="12.75" customHeight="1" x14ac:dyDescent="0.2">
      <c r="A42" s="13"/>
      <c r="B42" s="4" t="s">
        <v>54</v>
      </c>
      <c r="C42" s="15">
        <v>89</v>
      </c>
      <c r="E42" s="18"/>
      <c r="F42" s="20"/>
      <c r="G42" s="18"/>
      <c r="H42" s="18"/>
      <c r="I42" s="21"/>
    </row>
    <row r="43" spans="1:9" s="11" customFormat="1" ht="12.75" customHeight="1" x14ac:dyDescent="0.2">
      <c r="A43" s="13"/>
      <c r="B43" s="4" t="s">
        <v>173</v>
      </c>
      <c r="C43" s="15">
        <v>-4</v>
      </c>
      <c r="E43" s="18"/>
      <c r="F43" s="20"/>
      <c r="G43" s="18"/>
      <c r="H43" s="18"/>
      <c r="I43" s="21"/>
    </row>
    <row r="44" spans="1:9" s="11" customFormat="1" ht="12.75" customHeight="1" x14ac:dyDescent="0.2">
      <c r="A44" s="13"/>
      <c r="B44" s="4" t="s">
        <v>55</v>
      </c>
      <c r="C44" s="15">
        <v>-5</v>
      </c>
      <c r="E44" s="18"/>
      <c r="F44" s="20"/>
      <c r="G44" s="18"/>
      <c r="H44" s="18"/>
      <c r="I44" s="21"/>
    </row>
    <row r="45" spans="1:9" s="11" customFormat="1" ht="12.75" customHeight="1" x14ac:dyDescent="0.2">
      <c r="A45" s="13"/>
      <c r="B45" s="4" t="s">
        <v>171</v>
      </c>
      <c r="C45" s="15">
        <v>-2</v>
      </c>
      <c r="E45" s="18"/>
      <c r="F45" s="20"/>
      <c r="G45" s="18"/>
      <c r="H45" s="18"/>
      <c r="I45" s="21"/>
    </row>
    <row r="46" spans="1:9" s="11" customFormat="1" ht="12.75" customHeight="1" x14ac:dyDescent="0.2">
      <c r="A46" s="13"/>
      <c r="B46" s="4" t="s">
        <v>145</v>
      </c>
      <c r="C46" s="15">
        <v>2</v>
      </c>
      <c r="E46" s="18"/>
      <c r="F46" s="20"/>
      <c r="G46" s="18"/>
      <c r="H46" s="18"/>
      <c r="I46" s="21"/>
    </row>
    <row r="47" spans="1:9" s="11" customFormat="1" ht="12.75" customHeight="1" x14ac:dyDescent="0.2">
      <c r="A47" s="13"/>
      <c r="B47" s="4" t="s">
        <v>149</v>
      </c>
      <c r="C47" s="15">
        <v>0</v>
      </c>
      <c r="E47" s="18"/>
      <c r="F47" s="20"/>
      <c r="G47" s="18"/>
      <c r="H47" s="18"/>
      <c r="I47" s="21"/>
    </row>
    <row r="48" spans="1:9" s="11" customFormat="1" ht="12.75" customHeight="1" x14ac:dyDescent="0.2">
      <c r="A48" s="13"/>
      <c r="B48" s="4" t="s">
        <v>112</v>
      </c>
      <c r="C48" s="15">
        <v>1</v>
      </c>
      <c r="E48" s="18"/>
      <c r="F48" s="20"/>
      <c r="G48" s="18"/>
      <c r="H48" s="18"/>
      <c r="I48" s="21"/>
    </row>
    <row r="49" spans="1:9" s="11" customFormat="1" ht="12.75" customHeight="1" x14ac:dyDescent="0.2">
      <c r="A49" s="13"/>
      <c r="B49" s="4" t="s">
        <v>168</v>
      </c>
      <c r="C49" s="15">
        <v>-10</v>
      </c>
      <c r="E49" s="18"/>
      <c r="F49" s="20"/>
      <c r="G49" s="18"/>
      <c r="H49" s="18"/>
      <c r="I49" s="21"/>
    </row>
    <row r="50" spans="1:9" s="11" customFormat="1" ht="12.75" customHeight="1" x14ac:dyDescent="0.2">
      <c r="A50" s="13"/>
      <c r="B50" s="4" t="s">
        <v>116</v>
      </c>
      <c r="C50" s="15">
        <v>4</v>
      </c>
      <c r="E50" s="18"/>
      <c r="F50" s="20"/>
      <c r="G50" s="18"/>
      <c r="H50" s="18"/>
      <c r="I50" s="21"/>
    </row>
    <row r="51" spans="1:9" s="11" customFormat="1" ht="12.75" customHeight="1" x14ac:dyDescent="0.2">
      <c r="A51" s="13"/>
      <c r="B51" s="4" t="s">
        <v>154</v>
      </c>
      <c r="C51" s="15">
        <v>-11</v>
      </c>
      <c r="E51" s="18"/>
      <c r="F51" s="20"/>
      <c r="G51" s="18"/>
      <c r="H51" s="18"/>
      <c r="I51" s="21"/>
    </row>
    <row r="52" spans="1:9" s="11" customFormat="1" ht="12.75" customHeight="1" x14ac:dyDescent="0.2">
      <c r="A52" s="13"/>
      <c r="B52" s="4" t="s">
        <v>75</v>
      </c>
      <c r="C52" s="15">
        <v>14</v>
      </c>
      <c r="E52" s="18"/>
      <c r="F52" s="20"/>
      <c r="G52" s="18"/>
      <c r="H52" s="18"/>
      <c r="I52" s="21"/>
    </row>
    <row r="53" spans="1:9" s="11" customFormat="1" ht="12.75" customHeight="1" x14ac:dyDescent="0.2">
      <c r="A53" s="13"/>
      <c r="B53" s="4" t="s">
        <v>76</v>
      </c>
      <c r="C53" s="15">
        <v>-9</v>
      </c>
      <c r="E53" s="18"/>
      <c r="F53" s="20"/>
      <c r="G53" s="18"/>
      <c r="H53" s="18"/>
      <c r="I53" s="21"/>
    </row>
    <row r="54" spans="1:9" s="11" customFormat="1" ht="12.75" customHeight="1" x14ac:dyDescent="0.2">
      <c r="A54" s="13"/>
      <c r="B54" s="4" t="s">
        <v>146</v>
      </c>
      <c r="C54" s="15">
        <v>-2</v>
      </c>
      <c r="E54" s="18"/>
      <c r="F54" s="20"/>
      <c r="G54" s="18"/>
      <c r="H54" s="18"/>
      <c r="I54" s="21"/>
    </row>
    <row r="55" spans="1:9" s="11" customFormat="1" ht="12.75" customHeight="1" x14ac:dyDescent="0.2">
      <c r="A55" s="13"/>
      <c r="B55" s="4" t="s">
        <v>113</v>
      </c>
      <c r="C55" s="15">
        <v>8</v>
      </c>
      <c r="E55" s="18"/>
      <c r="F55" s="20"/>
      <c r="G55" s="18"/>
      <c r="H55" s="18"/>
      <c r="I55" s="21"/>
    </row>
    <row r="56" spans="1:9" s="11" customFormat="1" ht="12.75" customHeight="1" x14ac:dyDescent="0.2">
      <c r="A56" s="13"/>
      <c r="B56" s="4" t="s">
        <v>88</v>
      </c>
      <c r="C56" s="15">
        <v>12</v>
      </c>
      <c r="E56" s="18"/>
      <c r="F56" s="20"/>
      <c r="G56" s="18"/>
      <c r="H56" s="18"/>
      <c r="I56" s="21"/>
    </row>
    <row r="57" spans="1:9" s="11" customFormat="1" ht="12.75" customHeight="1" x14ac:dyDescent="0.2">
      <c r="A57" s="13"/>
      <c r="B57" s="5" t="s">
        <v>92</v>
      </c>
      <c r="C57" s="15">
        <v>49</v>
      </c>
      <c r="E57" s="18"/>
      <c r="F57" s="20"/>
      <c r="G57" s="18"/>
      <c r="H57" s="18"/>
      <c r="I57" s="21"/>
    </row>
    <row r="58" spans="1:9" s="11" customFormat="1" ht="12.75" customHeight="1" x14ac:dyDescent="0.2">
      <c r="A58" s="13"/>
      <c r="B58" s="5" t="s">
        <v>93</v>
      </c>
      <c r="C58" s="15">
        <v>109</v>
      </c>
      <c r="E58" s="18"/>
      <c r="F58" s="20"/>
      <c r="G58" s="18"/>
      <c r="H58" s="18"/>
      <c r="I58" s="21"/>
    </row>
    <row r="59" spans="1:9" s="11" customFormat="1" ht="12.75" customHeight="1" x14ac:dyDescent="0.2">
      <c r="A59" s="13"/>
      <c r="B59" s="4" t="s">
        <v>141</v>
      </c>
      <c r="C59" s="15">
        <v>-2</v>
      </c>
      <c r="E59" s="18"/>
      <c r="F59" s="20"/>
      <c r="G59" s="18"/>
      <c r="H59" s="18"/>
      <c r="I59" s="21"/>
    </row>
    <row r="60" spans="1:9" s="11" customFormat="1" ht="12.75" customHeight="1" x14ac:dyDescent="0.2">
      <c r="A60" s="13"/>
      <c r="B60" s="5" t="s">
        <v>94</v>
      </c>
      <c r="C60" s="15">
        <v>52</v>
      </c>
      <c r="E60" s="18"/>
      <c r="F60" s="20"/>
      <c r="G60" s="18"/>
      <c r="H60" s="18"/>
      <c r="I60" s="21"/>
    </row>
    <row r="61" spans="1:9" s="11" customFormat="1" ht="12.75" customHeight="1" x14ac:dyDescent="0.2">
      <c r="A61" s="13"/>
      <c r="B61" s="4" t="s">
        <v>120</v>
      </c>
      <c r="C61" s="15">
        <v>9</v>
      </c>
      <c r="E61" s="18"/>
      <c r="F61" s="20"/>
      <c r="G61" s="18"/>
      <c r="H61" s="18"/>
      <c r="I61" s="21"/>
    </row>
    <row r="62" spans="1:9" s="11" customFormat="1" ht="12.75" customHeight="1" x14ac:dyDescent="0.2">
      <c r="A62" s="13"/>
      <c r="B62" s="4" t="s">
        <v>159</v>
      </c>
      <c r="C62" s="15">
        <v>-10</v>
      </c>
      <c r="E62" s="18"/>
      <c r="F62" s="20"/>
      <c r="G62" s="18"/>
      <c r="H62" s="18"/>
      <c r="I62" s="21"/>
    </row>
    <row r="63" spans="1:9" s="11" customFormat="1" ht="12.75" customHeight="1" x14ac:dyDescent="0.2">
      <c r="A63" s="13"/>
      <c r="B63" s="4" t="s">
        <v>100</v>
      </c>
      <c r="C63" s="15">
        <v>20</v>
      </c>
      <c r="E63" s="18"/>
      <c r="F63" s="20"/>
      <c r="G63" s="18"/>
      <c r="H63" s="18"/>
      <c r="I63" s="21"/>
    </row>
    <row r="64" spans="1:9" s="11" customFormat="1" ht="12.75" customHeight="1" x14ac:dyDescent="0.2">
      <c r="A64" s="13"/>
      <c r="B64" s="4" t="s">
        <v>101</v>
      </c>
      <c r="C64" s="15">
        <v>19</v>
      </c>
      <c r="E64" s="18"/>
      <c r="F64" s="20"/>
      <c r="G64" s="18"/>
      <c r="H64" s="18"/>
      <c r="I64" s="21"/>
    </row>
    <row r="65" spans="1:9" s="11" customFormat="1" ht="13.5" customHeight="1" x14ac:dyDescent="0.2">
      <c r="A65" s="13"/>
      <c r="B65" s="4" t="s">
        <v>103</v>
      </c>
      <c r="C65" s="15">
        <v>-13</v>
      </c>
      <c r="E65" s="18"/>
      <c r="F65" s="20"/>
      <c r="G65" s="18"/>
      <c r="H65" s="18"/>
      <c r="I65" s="21"/>
    </row>
    <row r="66" spans="1:9" s="11" customFormat="1" ht="12.75" customHeight="1" x14ac:dyDescent="0.2">
      <c r="A66" s="13"/>
      <c r="B66" s="4" t="s">
        <v>182</v>
      </c>
      <c r="C66" s="16">
        <v>-3</v>
      </c>
      <c r="E66" s="18"/>
      <c r="F66" s="20"/>
      <c r="G66" s="18"/>
      <c r="H66" s="18"/>
      <c r="I66" s="21"/>
    </row>
    <row r="67" spans="1:9" s="11" customFormat="1" ht="12.75" customHeight="1" x14ac:dyDescent="0.2">
      <c r="A67" s="13"/>
      <c r="B67" s="4" t="s">
        <v>4</v>
      </c>
      <c r="C67" s="16">
        <v>11</v>
      </c>
      <c r="E67" s="18"/>
      <c r="F67" s="20"/>
      <c r="G67" s="18"/>
      <c r="H67" s="18"/>
      <c r="I67" s="21"/>
    </row>
    <row r="68" spans="1:9" s="11" customFormat="1" ht="12.75" customHeight="1" x14ac:dyDescent="0.2">
      <c r="A68" s="13"/>
      <c r="B68" s="4" t="s">
        <v>106</v>
      </c>
      <c r="C68" s="16">
        <v>3</v>
      </c>
      <c r="E68" s="18"/>
      <c r="F68" s="20"/>
      <c r="G68" s="18"/>
      <c r="H68" s="18"/>
      <c r="I68" s="21"/>
    </row>
    <row r="69" spans="1:9" s="11" customFormat="1" ht="12.75" customHeight="1" x14ac:dyDescent="0.2">
      <c r="A69" s="13"/>
      <c r="B69" s="4" t="s">
        <v>5</v>
      </c>
      <c r="C69" s="16">
        <v>46</v>
      </c>
      <c r="E69" s="18"/>
      <c r="F69" s="20"/>
      <c r="G69" s="18"/>
      <c r="H69" s="18"/>
      <c r="I69" s="21"/>
    </row>
    <row r="70" spans="1:9" s="11" customFormat="1" ht="12.75" customHeight="1" x14ac:dyDescent="0.2">
      <c r="A70" s="13"/>
      <c r="B70" s="4" t="s">
        <v>6</v>
      </c>
      <c r="C70" s="16">
        <v>5</v>
      </c>
      <c r="E70" s="18"/>
      <c r="F70" s="20"/>
      <c r="G70" s="18"/>
      <c r="H70" s="18"/>
      <c r="I70" s="21"/>
    </row>
    <row r="71" spans="1:9" s="11" customFormat="1" ht="12.75" customHeight="1" x14ac:dyDescent="0.2">
      <c r="A71" s="13"/>
      <c r="B71" s="4" t="s">
        <v>9</v>
      </c>
      <c r="C71" s="16">
        <v>38</v>
      </c>
      <c r="E71" s="18"/>
      <c r="F71" s="20"/>
      <c r="G71" s="18"/>
      <c r="H71" s="18"/>
      <c r="I71" s="21"/>
    </row>
    <row r="72" spans="1:9" s="11" customFormat="1" ht="12.75" customHeight="1" x14ac:dyDescent="0.2">
      <c r="A72" s="13"/>
      <c r="B72" s="4" t="s">
        <v>11</v>
      </c>
      <c r="C72" s="16">
        <v>7</v>
      </c>
      <c r="E72" s="18"/>
      <c r="F72" s="20"/>
      <c r="G72" s="18"/>
      <c r="H72" s="18"/>
      <c r="I72" s="21"/>
    </row>
    <row r="73" spans="1:9" s="11" customFormat="1" ht="12.75" customHeight="1" x14ac:dyDescent="0.2">
      <c r="A73" s="13"/>
      <c r="B73" s="4" t="s">
        <v>12</v>
      </c>
      <c r="C73" s="16">
        <v>28</v>
      </c>
      <c r="E73" s="18"/>
      <c r="F73" s="20"/>
      <c r="G73" s="18"/>
      <c r="H73" s="18"/>
      <c r="I73" s="21"/>
    </row>
    <row r="74" spans="1:9" s="11" customFormat="1" ht="12.75" customHeight="1" x14ac:dyDescent="0.2">
      <c r="A74" s="13"/>
      <c r="B74" s="4" t="s">
        <v>137</v>
      </c>
      <c r="C74" s="16">
        <v>-1</v>
      </c>
      <c r="E74" s="18"/>
      <c r="F74" s="20"/>
      <c r="G74" s="18"/>
      <c r="H74" s="18"/>
      <c r="I74" s="21"/>
    </row>
    <row r="75" spans="1:9" s="11" customFormat="1" ht="12.75" customHeight="1" x14ac:dyDescent="0.2">
      <c r="A75" s="13"/>
      <c r="B75" s="4" t="s">
        <v>157</v>
      </c>
      <c r="C75" s="16">
        <v>-9</v>
      </c>
      <c r="E75" s="18"/>
      <c r="F75" s="20"/>
      <c r="G75" s="18"/>
      <c r="H75" s="18"/>
      <c r="I75" s="21"/>
    </row>
    <row r="76" spans="1:9" s="11" customFormat="1" ht="12.75" customHeight="1" x14ac:dyDescent="0.2">
      <c r="A76" s="13"/>
      <c r="B76" s="4" t="s">
        <v>191</v>
      </c>
      <c r="C76" s="16">
        <v>0</v>
      </c>
      <c r="E76" s="18"/>
      <c r="F76" s="20"/>
      <c r="G76" s="18"/>
      <c r="H76" s="18"/>
      <c r="I76" s="21"/>
    </row>
    <row r="77" spans="1:9" s="11" customFormat="1" ht="12.75" customHeight="1" x14ac:dyDescent="0.2">
      <c r="A77" s="13"/>
      <c r="B77" s="4" t="s">
        <v>143</v>
      </c>
      <c r="C77" s="16">
        <v>3</v>
      </c>
      <c r="E77" s="18"/>
      <c r="F77" s="20"/>
      <c r="G77" s="18"/>
      <c r="H77" s="18"/>
      <c r="I77" s="21"/>
    </row>
    <row r="78" spans="1:9" s="11" customFormat="1" ht="12.75" customHeight="1" x14ac:dyDescent="0.2">
      <c r="A78" s="13"/>
      <c r="B78" s="4" t="s">
        <v>169</v>
      </c>
      <c r="C78" s="16">
        <v>-3</v>
      </c>
      <c r="E78" s="18"/>
      <c r="F78" s="20"/>
      <c r="G78" s="18"/>
      <c r="H78" s="18"/>
      <c r="I78" s="21"/>
    </row>
    <row r="79" spans="1:9" s="11" customFormat="1" ht="12.75" customHeight="1" x14ac:dyDescent="0.2">
      <c r="A79" s="13"/>
      <c r="B79" s="4" t="s">
        <v>202</v>
      </c>
      <c r="C79" s="16">
        <v>0</v>
      </c>
      <c r="E79" s="18"/>
      <c r="F79" s="20"/>
      <c r="G79" s="18"/>
      <c r="H79" s="18"/>
      <c r="I79" s="21"/>
    </row>
    <row r="80" spans="1:9" s="11" customFormat="1" ht="12.75" customHeight="1" x14ac:dyDescent="0.2">
      <c r="A80" s="13"/>
      <c r="B80" s="4" t="s">
        <v>17</v>
      </c>
      <c r="C80" s="16">
        <v>-5</v>
      </c>
      <c r="E80" s="18"/>
      <c r="F80" s="20"/>
      <c r="G80" s="18"/>
      <c r="H80" s="18"/>
      <c r="I80" s="21"/>
    </row>
    <row r="81" spans="1:9" s="11" customFormat="1" ht="12.75" customHeight="1" x14ac:dyDescent="0.2">
      <c r="A81" s="13"/>
      <c r="B81" s="4" t="s">
        <v>18</v>
      </c>
      <c r="C81" s="16">
        <v>6</v>
      </c>
      <c r="E81" s="18"/>
      <c r="F81" s="20"/>
      <c r="G81" s="18"/>
      <c r="H81" s="18"/>
      <c r="I81" s="21"/>
    </row>
    <row r="82" spans="1:9" s="11" customFormat="1" ht="12.75" customHeight="1" x14ac:dyDescent="0.2">
      <c r="A82" s="13"/>
      <c r="B82" s="4" t="s">
        <v>167</v>
      </c>
      <c r="C82" s="16">
        <v>-11</v>
      </c>
      <c r="E82" s="18"/>
      <c r="F82" s="20"/>
      <c r="G82" s="18"/>
      <c r="H82" s="18"/>
      <c r="I82" s="21"/>
    </row>
    <row r="83" spans="1:9" s="11" customFormat="1" ht="12.75" customHeight="1" x14ac:dyDescent="0.2">
      <c r="A83" s="13"/>
      <c r="B83" s="4" t="s">
        <v>20</v>
      </c>
      <c r="C83" s="16">
        <v>20</v>
      </c>
      <c r="E83" s="18"/>
      <c r="F83" s="20"/>
      <c r="G83" s="18"/>
      <c r="H83" s="18"/>
      <c r="I83" s="21"/>
    </row>
    <row r="84" spans="1:9" s="11" customFormat="1" ht="12.75" customHeight="1" x14ac:dyDescent="0.2">
      <c r="A84" s="13"/>
      <c r="B84" s="4" t="s">
        <v>21</v>
      </c>
      <c r="C84" s="16">
        <v>26</v>
      </c>
      <c r="E84" s="18"/>
      <c r="F84" s="20"/>
      <c r="G84" s="18"/>
      <c r="H84" s="18"/>
      <c r="I84" s="21"/>
    </row>
    <row r="85" spans="1:9" s="11" customFormat="1" ht="12.75" customHeight="1" x14ac:dyDescent="0.2">
      <c r="A85" s="13"/>
      <c r="B85" s="4" t="s">
        <v>22</v>
      </c>
      <c r="C85" s="16">
        <v>27</v>
      </c>
      <c r="E85" s="18"/>
      <c r="F85" s="20"/>
      <c r="G85" s="18"/>
      <c r="H85" s="18"/>
      <c r="I85" s="21"/>
    </row>
    <row r="86" spans="1:9" s="11" customFormat="1" ht="12.75" customHeight="1" x14ac:dyDescent="0.2">
      <c r="A86" s="13"/>
      <c r="B86" s="4" t="s">
        <v>23</v>
      </c>
      <c r="C86" s="16">
        <v>14</v>
      </c>
      <c r="E86" s="18"/>
      <c r="F86" s="20"/>
      <c r="G86" s="18"/>
      <c r="H86" s="18"/>
      <c r="I86" s="21"/>
    </row>
    <row r="87" spans="1:9" s="11" customFormat="1" ht="12.75" customHeight="1" x14ac:dyDescent="0.2">
      <c r="A87" s="13"/>
      <c r="B87" s="4" t="s">
        <v>144</v>
      </c>
      <c r="C87" s="16">
        <v>0</v>
      </c>
      <c r="E87" s="18"/>
      <c r="F87" s="20"/>
      <c r="G87" s="18"/>
      <c r="H87" s="18"/>
      <c r="I87" s="21"/>
    </row>
    <row r="88" spans="1:9" s="11" customFormat="1" ht="12.75" customHeight="1" x14ac:dyDescent="0.2">
      <c r="A88" s="13"/>
      <c r="B88" s="4" t="s">
        <v>24</v>
      </c>
      <c r="C88" s="16">
        <v>31</v>
      </c>
      <c r="E88" s="18"/>
      <c r="F88" s="20"/>
      <c r="G88" s="18"/>
      <c r="H88" s="18"/>
      <c r="I88" s="21"/>
    </row>
    <row r="89" spans="1:9" s="11" customFormat="1" ht="12.75" customHeight="1" x14ac:dyDescent="0.2">
      <c r="A89" s="13"/>
      <c r="B89" s="4" t="s">
        <v>25</v>
      </c>
      <c r="C89" s="16">
        <v>9</v>
      </c>
      <c r="E89" s="18"/>
      <c r="F89" s="20"/>
      <c r="G89" s="18"/>
      <c r="H89" s="18"/>
      <c r="I89" s="21"/>
    </row>
    <row r="90" spans="1:9" s="11" customFormat="1" ht="12.75" customHeight="1" x14ac:dyDescent="0.2">
      <c r="A90" s="13"/>
      <c r="B90" s="4" t="s">
        <v>142</v>
      </c>
      <c r="C90" s="16">
        <v>1</v>
      </c>
      <c r="E90" s="18"/>
      <c r="F90" s="20"/>
      <c r="G90" s="18"/>
      <c r="H90" s="18"/>
      <c r="I90" s="21"/>
    </row>
    <row r="91" spans="1:9" s="11" customFormat="1" ht="12.75" customHeight="1" x14ac:dyDescent="0.2">
      <c r="A91" s="13"/>
      <c r="B91" s="4" t="s">
        <v>163</v>
      </c>
      <c r="C91" s="16">
        <v>-9</v>
      </c>
      <c r="E91" s="18"/>
      <c r="F91" s="20"/>
      <c r="G91" s="18"/>
      <c r="H91" s="18"/>
      <c r="I91" s="21"/>
    </row>
    <row r="92" spans="1:9" s="11" customFormat="1" ht="12.75" customHeight="1" x14ac:dyDescent="0.2">
      <c r="A92" s="13"/>
      <c r="B92" s="4" t="s">
        <v>27</v>
      </c>
      <c r="C92" s="16">
        <v>12</v>
      </c>
      <c r="E92" s="18"/>
      <c r="F92" s="20"/>
      <c r="G92" s="18"/>
      <c r="H92" s="18"/>
      <c r="I92" s="21"/>
    </row>
    <row r="93" spans="1:9" s="11" customFormat="1" ht="12.75" customHeight="1" x14ac:dyDescent="0.2">
      <c r="A93" s="13"/>
      <c r="B93" s="4" t="s">
        <v>200</v>
      </c>
      <c r="C93" s="16">
        <v>0</v>
      </c>
      <c r="E93" s="18"/>
      <c r="F93" s="20"/>
      <c r="G93" s="18"/>
      <c r="H93" s="18"/>
      <c r="I93" s="21"/>
    </row>
    <row r="94" spans="1:9" s="11" customFormat="1" ht="12.75" customHeight="1" x14ac:dyDescent="0.2">
      <c r="A94" s="13"/>
      <c r="B94" s="4" t="s">
        <v>164</v>
      </c>
      <c r="C94" s="16">
        <v>-9</v>
      </c>
      <c r="E94" s="18"/>
      <c r="F94" s="20"/>
      <c r="G94" s="18"/>
      <c r="H94" s="18"/>
      <c r="I94" s="21"/>
    </row>
    <row r="95" spans="1:9" s="11" customFormat="1" ht="12.75" customHeight="1" x14ac:dyDescent="0.2">
      <c r="A95" s="13"/>
      <c r="B95" s="4" t="s">
        <v>28</v>
      </c>
      <c r="C95" s="16">
        <v>10</v>
      </c>
      <c r="E95" s="18"/>
      <c r="F95" s="20"/>
      <c r="G95" s="18"/>
      <c r="H95" s="18"/>
      <c r="I95" s="21"/>
    </row>
    <row r="96" spans="1:9" s="11" customFormat="1" ht="12.75" customHeight="1" x14ac:dyDescent="0.2">
      <c r="A96" s="13"/>
      <c r="B96" s="4" t="s">
        <v>29</v>
      </c>
      <c r="C96" s="16">
        <v>40</v>
      </c>
      <c r="E96" s="18"/>
      <c r="F96" s="20"/>
      <c r="G96" s="18"/>
      <c r="H96" s="18"/>
      <c r="I96" s="21"/>
    </row>
    <row r="97" spans="1:9" s="11" customFormat="1" ht="12.75" customHeight="1" x14ac:dyDescent="0.2">
      <c r="A97" s="13"/>
      <c r="B97" s="4" t="s">
        <v>30</v>
      </c>
      <c r="C97" s="16">
        <v>5</v>
      </c>
      <c r="E97" s="18"/>
      <c r="F97" s="20"/>
      <c r="G97" s="18"/>
      <c r="H97" s="18"/>
      <c r="I97" s="21"/>
    </row>
    <row r="98" spans="1:9" s="11" customFormat="1" ht="12.75" customHeight="1" x14ac:dyDescent="0.2">
      <c r="A98" s="13"/>
      <c r="B98" s="4" t="s">
        <v>31</v>
      </c>
      <c r="C98" s="16">
        <v>16</v>
      </c>
      <c r="E98" s="18"/>
      <c r="F98" s="20"/>
      <c r="G98" s="18"/>
      <c r="H98" s="18"/>
      <c r="I98" s="21"/>
    </row>
    <row r="99" spans="1:9" s="11" customFormat="1" ht="12.75" customHeight="1" x14ac:dyDescent="0.2">
      <c r="A99" s="13"/>
      <c r="B99" s="4" t="s">
        <v>118</v>
      </c>
      <c r="C99" s="16">
        <v>2</v>
      </c>
      <c r="E99" s="18"/>
      <c r="F99" s="20"/>
      <c r="G99" s="18"/>
      <c r="H99" s="18"/>
      <c r="I99" s="21"/>
    </row>
    <row r="100" spans="1:9" s="11" customFormat="1" ht="12.75" customHeight="1" x14ac:dyDescent="0.2">
      <c r="A100" s="13"/>
      <c r="B100" s="4" t="s">
        <v>33</v>
      </c>
      <c r="C100" s="16">
        <v>46</v>
      </c>
      <c r="E100" s="18"/>
      <c r="F100" s="20"/>
      <c r="G100" s="18"/>
      <c r="H100" s="18"/>
      <c r="I100" s="21"/>
    </row>
    <row r="101" spans="1:9" s="11" customFormat="1" ht="12.75" customHeight="1" x14ac:dyDescent="0.2">
      <c r="A101" s="13"/>
      <c r="B101" s="4" t="s">
        <v>127</v>
      </c>
      <c r="C101" s="16">
        <v>-3</v>
      </c>
      <c r="E101" s="18"/>
      <c r="F101" s="20"/>
      <c r="G101" s="18"/>
      <c r="H101" s="18"/>
      <c r="I101" s="21"/>
    </row>
    <row r="102" spans="1:9" s="11" customFormat="1" ht="12.75" customHeight="1" x14ac:dyDescent="0.2">
      <c r="A102" s="13"/>
      <c r="B102" s="4" t="s">
        <v>34</v>
      </c>
      <c r="C102" s="16">
        <v>65</v>
      </c>
      <c r="E102" s="18"/>
      <c r="F102" s="20"/>
      <c r="G102" s="18"/>
      <c r="H102" s="18"/>
      <c r="I102" s="21"/>
    </row>
    <row r="103" spans="1:9" s="11" customFormat="1" ht="12.75" customHeight="1" x14ac:dyDescent="0.2">
      <c r="A103" s="13"/>
      <c r="B103" s="4" t="s">
        <v>183</v>
      </c>
      <c r="C103" s="16">
        <v>-3</v>
      </c>
      <c r="E103" s="18"/>
      <c r="F103" s="20"/>
      <c r="G103" s="18"/>
      <c r="H103" s="18"/>
      <c r="I103" s="21"/>
    </row>
    <row r="104" spans="1:9" s="11" customFormat="1" ht="12.75" customHeight="1" x14ac:dyDescent="0.2">
      <c r="A104" s="13"/>
      <c r="B104" s="4" t="s">
        <v>181</v>
      </c>
      <c r="C104" s="16">
        <v>0</v>
      </c>
      <c r="E104" s="18"/>
      <c r="F104" s="20"/>
      <c r="G104" s="18"/>
      <c r="H104" s="18"/>
      <c r="I104" s="21"/>
    </row>
    <row r="105" spans="1:9" s="11" customFormat="1" ht="12.75" customHeight="1" x14ac:dyDescent="0.2">
      <c r="A105" s="13"/>
      <c r="B105" s="4" t="s">
        <v>36</v>
      </c>
      <c r="C105" s="16">
        <v>8</v>
      </c>
      <c r="E105" s="18"/>
      <c r="F105" s="20"/>
      <c r="G105" s="18"/>
      <c r="H105" s="18"/>
      <c r="I105" s="21"/>
    </row>
    <row r="106" spans="1:9" s="11" customFormat="1" ht="12.75" customHeight="1" x14ac:dyDescent="0.2">
      <c r="A106" s="13"/>
      <c r="B106" s="4" t="s">
        <v>161</v>
      </c>
      <c r="C106" s="16">
        <v>-13</v>
      </c>
      <c r="E106" s="18"/>
      <c r="F106" s="20"/>
      <c r="G106" s="18"/>
      <c r="H106" s="18"/>
      <c r="I106" s="21"/>
    </row>
    <row r="107" spans="1:9" s="11" customFormat="1" ht="12.75" customHeight="1" x14ac:dyDescent="0.2">
      <c r="A107" s="13"/>
      <c r="B107" s="4" t="s">
        <v>38</v>
      </c>
      <c r="C107" s="16">
        <v>0</v>
      </c>
      <c r="E107" s="18"/>
      <c r="F107" s="20"/>
      <c r="G107" s="18"/>
      <c r="H107" s="18"/>
      <c r="I107" s="21"/>
    </row>
    <row r="108" spans="1:9" s="11" customFormat="1" ht="12.75" customHeight="1" x14ac:dyDescent="0.2">
      <c r="A108" s="13"/>
      <c r="B108" s="4" t="s">
        <v>39</v>
      </c>
      <c r="C108" s="16">
        <v>47</v>
      </c>
      <c r="E108" s="18"/>
      <c r="F108" s="20"/>
      <c r="G108" s="18"/>
      <c r="H108" s="18"/>
      <c r="I108" s="21"/>
    </row>
    <row r="109" spans="1:9" s="11" customFormat="1" ht="12.75" customHeight="1" x14ac:dyDescent="0.2">
      <c r="A109" s="13"/>
      <c r="B109" s="4" t="s">
        <v>40</v>
      </c>
      <c r="C109" s="16">
        <v>-3</v>
      </c>
      <c r="E109" s="18"/>
      <c r="F109" s="20"/>
      <c r="G109" s="18"/>
      <c r="H109" s="18"/>
      <c r="I109" s="21"/>
    </row>
    <row r="110" spans="1:9" s="11" customFormat="1" ht="12.75" customHeight="1" x14ac:dyDescent="0.2">
      <c r="A110" s="13"/>
      <c r="B110" s="4" t="s">
        <v>180</v>
      </c>
      <c r="C110" s="16">
        <v>2</v>
      </c>
      <c r="E110" s="18"/>
      <c r="F110" s="20"/>
      <c r="G110" s="18"/>
      <c r="H110" s="18"/>
      <c r="I110" s="21"/>
    </row>
    <row r="111" spans="1:9" s="11" customFormat="1" ht="12.75" customHeight="1" x14ac:dyDescent="0.2">
      <c r="A111" s="13"/>
      <c r="B111" s="4" t="s">
        <v>42</v>
      </c>
      <c r="C111" s="16">
        <v>12</v>
      </c>
      <c r="E111" s="18"/>
      <c r="F111" s="20"/>
      <c r="G111" s="18"/>
      <c r="H111" s="18"/>
      <c r="I111" s="21"/>
    </row>
    <row r="112" spans="1:9" s="11" customFormat="1" ht="12.75" customHeight="1" x14ac:dyDescent="0.2">
      <c r="A112" s="13"/>
      <c r="B112" s="4" t="s">
        <v>195</v>
      </c>
      <c r="C112" s="16">
        <v>0</v>
      </c>
      <c r="E112" s="18"/>
      <c r="F112" s="20"/>
      <c r="G112" s="18"/>
      <c r="H112" s="18"/>
      <c r="I112" s="21"/>
    </row>
    <row r="113" spans="1:9" s="11" customFormat="1" ht="12.75" customHeight="1" x14ac:dyDescent="0.2">
      <c r="A113" s="13"/>
      <c r="B113" s="4" t="s">
        <v>43</v>
      </c>
      <c r="C113" s="16">
        <v>29</v>
      </c>
      <c r="E113" s="18"/>
      <c r="F113" s="20"/>
      <c r="G113" s="18"/>
      <c r="H113" s="18"/>
      <c r="I113" s="21"/>
    </row>
    <row r="114" spans="1:9" s="11" customFormat="1" ht="12.75" customHeight="1" x14ac:dyDescent="0.2">
      <c r="A114" s="13"/>
      <c r="B114" s="4" t="s">
        <v>44</v>
      </c>
      <c r="C114" s="16">
        <v>17</v>
      </c>
      <c r="E114" s="18"/>
      <c r="F114" s="20"/>
      <c r="G114" s="18"/>
      <c r="H114" s="18"/>
      <c r="I114" s="21"/>
    </row>
    <row r="115" spans="1:9" s="11" customFormat="1" ht="12.75" customHeight="1" x14ac:dyDescent="0.2">
      <c r="A115" s="13"/>
      <c r="B115" s="4" t="s">
        <v>199</v>
      </c>
      <c r="C115" s="16">
        <v>0</v>
      </c>
      <c r="E115" s="18"/>
      <c r="F115" s="20"/>
      <c r="G115" s="18"/>
      <c r="H115" s="18"/>
      <c r="I115" s="21"/>
    </row>
    <row r="116" spans="1:9" s="11" customFormat="1" ht="12.75" customHeight="1" x14ac:dyDescent="0.2">
      <c r="A116" s="13"/>
      <c r="B116" s="4" t="s">
        <v>187</v>
      </c>
      <c r="C116" s="16">
        <v>0</v>
      </c>
      <c r="E116" s="18"/>
      <c r="F116" s="20"/>
      <c r="G116" s="18"/>
      <c r="H116" s="18"/>
      <c r="I116" s="21"/>
    </row>
    <row r="117" spans="1:9" s="11" customFormat="1" ht="12.75" customHeight="1" x14ac:dyDescent="0.2">
      <c r="A117" s="13"/>
      <c r="B117" s="4" t="s">
        <v>46</v>
      </c>
      <c r="C117" s="16">
        <v>0</v>
      </c>
      <c r="E117" s="18"/>
      <c r="F117" s="20"/>
      <c r="G117" s="18"/>
      <c r="H117" s="18"/>
      <c r="I117" s="21"/>
    </row>
    <row r="118" spans="1:9" s="11" customFormat="1" ht="12.75" customHeight="1" x14ac:dyDescent="0.2">
      <c r="A118" s="13"/>
      <c r="B118" s="4" t="s">
        <v>47</v>
      </c>
      <c r="C118" s="16">
        <v>54</v>
      </c>
      <c r="E118" s="18"/>
      <c r="F118" s="20"/>
      <c r="G118" s="18"/>
      <c r="H118" s="18"/>
      <c r="I118" s="21"/>
    </row>
    <row r="119" spans="1:9" s="11" customFormat="1" ht="12.75" customHeight="1" x14ac:dyDescent="0.2">
      <c r="A119" s="13"/>
      <c r="B119" s="4" t="s">
        <v>188</v>
      </c>
      <c r="C119" s="16">
        <v>0</v>
      </c>
      <c r="E119" s="18"/>
      <c r="F119" s="20"/>
      <c r="G119" s="18"/>
      <c r="H119" s="18"/>
      <c r="I119" s="21"/>
    </row>
    <row r="120" spans="1:9" s="11" customFormat="1" ht="12.75" customHeight="1" x14ac:dyDescent="0.2">
      <c r="A120" s="13"/>
      <c r="B120" s="4" t="s">
        <v>48</v>
      </c>
      <c r="C120" s="16">
        <v>5</v>
      </c>
      <c r="E120" s="18"/>
      <c r="F120" s="20"/>
      <c r="G120" s="18"/>
      <c r="H120" s="18"/>
      <c r="I120" s="21"/>
    </row>
    <row r="121" spans="1:9" s="11" customFormat="1" ht="12.75" customHeight="1" x14ac:dyDescent="0.2">
      <c r="A121" s="13"/>
      <c r="B121" s="4" t="s">
        <v>165</v>
      </c>
      <c r="C121" s="16">
        <v>-11</v>
      </c>
      <c r="E121" s="18"/>
      <c r="F121" s="20"/>
      <c r="G121" s="18"/>
      <c r="H121" s="18"/>
      <c r="I121" s="21"/>
    </row>
    <row r="122" spans="1:9" s="11" customFormat="1" ht="12.75" customHeight="1" x14ac:dyDescent="0.2">
      <c r="A122" s="13"/>
      <c r="B122" s="4" t="s">
        <v>51</v>
      </c>
      <c r="C122" s="16">
        <v>0</v>
      </c>
      <c r="E122" s="18"/>
      <c r="F122" s="20"/>
      <c r="G122" s="18"/>
      <c r="H122" s="18"/>
      <c r="I122" s="21"/>
    </row>
    <row r="123" spans="1:9" s="11" customFormat="1" ht="12.75" customHeight="1" x14ac:dyDescent="0.2">
      <c r="A123" s="13"/>
      <c r="B123" s="4" t="s">
        <v>119</v>
      </c>
      <c r="C123" s="16">
        <v>6</v>
      </c>
      <c r="E123" s="18"/>
      <c r="F123" s="20"/>
      <c r="G123" s="18"/>
      <c r="H123" s="18"/>
      <c r="I123" s="21"/>
    </row>
    <row r="124" spans="1:9" s="11" customFormat="1" ht="12.75" customHeight="1" x14ac:dyDescent="0.2">
      <c r="A124" s="13"/>
      <c r="B124" s="4" t="s">
        <v>52</v>
      </c>
      <c r="C124" s="16">
        <v>23</v>
      </c>
      <c r="E124" s="18"/>
      <c r="F124" s="20"/>
      <c r="G124" s="18"/>
      <c r="H124" s="18"/>
      <c r="I124" s="21"/>
    </row>
    <row r="125" spans="1:9" s="11" customFormat="1" ht="12.75" customHeight="1" x14ac:dyDescent="0.2">
      <c r="A125" s="13"/>
      <c r="B125" s="5" t="s">
        <v>194</v>
      </c>
      <c r="C125" s="16">
        <v>0</v>
      </c>
      <c r="E125" s="18"/>
      <c r="F125" s="20"/>
      <c r="G125" s="18"/>
      <c r="H125" s="18"/>
      <c r="I125" s="21"/>
    </row>
    <row r="126" spans="1:9" s="11" customFormat="1" ht="12.75" customHeight="1" x14ac:dyDescent="0.2">
      <c r="A126" s="13"/>
      <c r="B126" s="4" t="s">
        <v>53</v>
      </c>
      <c r="C126" s="16">
        <v>3</v>
      </c>
      <c r="E126" s="18"/>
      <c r="F126" s="20"/>
      <c r="G126" s="18"/>
      <c r="H126" s="18"/>
      <c r="I126" s="21"/>
    </row>
    <row r="127" spans="1:9" s="11" customFormat="1" ht="12.75" customHeight="1" x14ac:dyDescent="0.2">
      <c r="A127" s="13"/>
      <c r="B127" s="4" t="s">
        <v>139</v>
      </c>
      <c r="C127" s="16">
        <v>2</v>
      </c>
      <c r="E127" s="18"/>
      <c r="F127" s="20"/>
      <c r="G127" s="18"/>
      <c r="H127" s="18"/>
      <c r="I127" s="21"/>
    </row>
    <row r="128" spans="1:9" s="11" customFormat="1" ht="12.75" customHeight="1" x14ac:dyDescent="0.2">
      <c r="A128" s="13"/>
      <c r="B128" s="4" t="s">
        <v>108</v>
      </c>
      <c r="C128" s="16">
        <v>4</v>
      </c>
      <c r="E128" s="18"/>
      <c r="F128" s="20"/>
      <c r="G128" s="18"/>
      <c r="H128" s="18"/>
      <c r="I128" s="21"/>
    </row>
    <row r="129" spans="1:9" s="11" customFormat="1" ht="12.75" customHeight="1" x14ac:dyDescent="0.2">
      <c r="A129" s="13"/>
      <c r="B129" s="4" t="s">
        <v>123</v>
      </c>
      <c r="C129" s="16">
        <v>-9</v>
      </c>
      <c r="E129" s="18"/>
      <c r="F129" s="20"/>
      <c r="G129" s="18"/>
      <c r="H129" s="18"/>
      <c r="I129" s="21"/>
    </row>
    <row r="130" spans="1:9" s="11" customFormat="1" ht="12.75" customHeight="1" x14ac:dyDescent="0.2">
      <c r="A130" s="13"/>
      <c r="B130" s="4" t="s">
        <v>184</v>
      </c>
      <c r="C130" s="16">
        <v>-3</v>
      </c>
      <c r="E130" s="18"/>
      <c r="F130" s="20"/>
      <c r="G130" s="18"/>
      <c r="H130" s="18"/>
      <c r="I130" s="21"/>
    </row>
    <row r="131" spans="1:9" s="11" customFormat="1" ht="12.75" customHeight="1" x14ac:dyDescent="0.2">
      <c r="A131" s="13"/>
      <c r="B131" s="4" t="s">
        <v>185</v>
      </c>
      <c r="C131" s="16">
        <v>0</v>
      </c>
      <c r="E131" s="18"/>
      <c r="F131" s="20"/>
      <c r="G131" s="18"/>
      <c r="H131" s="18"/>
      <c r="I131" s="21"/>
    </row>
    <row r="132" spans="1:9" s="11" customFormat="1" ht="12.75" customHeight="1" x14ac:dyDescent="0.2">
      <c r="A132" s="13"/>
      <c r="B132" s="4" t="s">
        <v>105</v>
      </c>
      <c r="C132" s="16">
        <v>-2</v>
      </c>
      <c r="E132" s="18"/>
      <c r="F132" s="20"/>
      <c r="G132" s="18"/>
      <c r="H132" s="18"/>
      <c r="I132" s="21"/>
    </row>
    <row r="133" spans="1:9" s="11" customFormat="1" ht="12.75" customHeight="1" x14ac:dyDescent="0.2">
      <c r="A133" s="13"/>
      <c r="B133" s="4" t="s">
        <v>56</v>
      </c>
      <c r="C133" s="16">
        <v>40</v>
      </c>
      <c r="E133" s="18"/>
      <c r="F133" s="20"/>
      <c r="G133" s="18"/>
      <c r="H133" s="18"/>
      <c r="I133" s="21"/>
    </row>
    <row r="134" spans="1:9" s="11" customFormat="1" ht="12.75" customHeight="1" x14ac:dyDescent="0.2">
      <c r="A134" s="13"/>
      <c r="B134" s="4" t="s">
        <v>57</v>
      </c>
      <c r="C134" s="16">
        <v>5</v>
      </c>
      <c r="E134" s="18"/>
      <c r="F134" s="20"/>
      <c r="G134" s="18"/>
      <c r="H134" s="18"/>
      <c r="I134" s="21"/>
    </row>
    <row r="135" spans="1:9" s="11" customFormat="1" ht="12.75" customHeight="1" x14ac:dyDescent="0.2">
      <c r="A135" s="13"/>
      <c r="B135" s="4" t="s">
        <v>58</v>
      </c>
      <c r="C135" s="16">
        <v>36</v>
      </c>
      <c r="E135" s="18"/>
      <c r="F135" s="20"/>
      <c r="G135" s="18"/>
      <c r="H135" s="18"/>
      <c r="I135" s="21"/>
    </row>
    <row r="136" spans="1:9" s="11" customFormat="1" ht="12.75" customHeight="1" x14ac:dyDescent="0.2">
      <c r="A136" s="13"/>
      <c r="B136" s="4" t="s">
        <v>59</v>
      </c>
      <c r="C136" s="16">
        <v>21</v>
      </c>
      <c r="E136" s="18"/>
      <c r="F136" s="20"/>
      <c r="G136" s="18"/>
      <c r="H136" s="18"/>
      <c r="I136" s="21"/>
    </row>
    <row r="137" spans="1:9" s="11" customFormat="1" ht="12.75" customHeight="1" x14ac:dyDescent="0.2">
      <c r="A137" s="13"/>
      <c r="B137" s="5" t="s">
        <v>60</v>
      </c>
      <c r="C137" s="16">
        <v>32</v>
      </c>
      <c r="E137" s="18"/>
      <c r="F137" s="20"/>
      <c r="G137" s="18"/>
      <c r="H137" s="18"/>
      <c r="I137" s="21"/>
    </row>
    <row r="138" spans="1:9" s="11" customFormat="1" ht="11.25" x14ac:dyDescent="0.2">
      <c r="A138" s="13"/>
      <c r="B138" s="4" t="s">
        <v>124</v>
      </c>
      <c r="C138" s="16">
        <v>-9</v>
      </c>
      <c r="E138" s="18"/>
      <c r="F138" s="20"/>
      <c r="G138" s="18"/>
      <c r="H138" s="18"/>
      <c r="I138" s="21"/>
    </row>
    <row r="139" spans="1:9" s="11" customFormat="1" ht="12.75" customHeight="1" x14ac:dyDescent="0.2">
      <c r="A139" s="13"/>
      <c r="B139" s="4" t="s">
        <v>196</v>
      </c>
      <c r="C139" s="16">
        <v>0</v>
      </c>
      <c r="E139" s="18"/>
      <c r="F139" s="20"/>
      <c r="G139" s="18"/>
      <c r="H139" s="18"/>
      <c r="I139" s="21"/>
    </row>
    <row r="140" spans="1:9" s="11" customFormat="1" ht="12.75" customHeight="1" x14ac:dyDescent="0.2">
      <c r="A140" s="13"/>
      <c r="B140" s="4" t="s">
        <v>61</v>
      </c>
      <c r="C140" s="16">
        <v>1</v>
      </c>
      <c r="E140" s="18"/>
      <c r="F140" s="20"/>
      <c r="G140" s="18"/>
      <c r="H140" s="18"/>
      <c r="I140" s="21"/>
    </row>
    <row r="141" spans="1:9" s="11" customFormat="1" ht="12.75" customHeight="1" x14ac:dyDescent="0.2">
      <c r="A141" s="13"/>
      <c r="B141" s="4" t="s">
        <v>62</v>
      </c>
      <c r="C141" s="16">
        <v>38</v>
      </c>
      <c r="E141" s="18"/>
      <c r="F141" s="20"/>
      <c r="G141" s="18"/>
      <c r="H141" s="18"/>
      <c r="I141" s="21"/>
    </row>
    <row r="142" spans="1:9" s="11" customFormat="1" ht="12.75" customHeight="1" x14ac:dyDescent="0.2">
      <c r="A142" s="13"/>
      <c r="B142" s="4" t="s">
        <v>63</v>
      </c>
      <c r="C142" s="16">
        <v>-3</v>
      </c>
      <c r="E142" s="18"/>
      <c r="F142" s="20"/>
      <c r="G142" s="18"/>
      <c r="H142" s="18"/>
      <c r="I142" s="21"/>
    </row>
    <row r="143" spans="1:9" s="11" customFormat="1" ht="12.75" customHeight="1" x14ac:dyDescent="0.2">
      <c r="A143" s="13"/>
      <c r="B143" s="5" t="s">
        <v>64</v>
      </c>
      <c r="C143" s="16">
        <v>134</v>
      </c>
      <c r="E143" s="18"/>
      <c r="F143" s="20"/>
      <c r="G143" s="18"/>
      <c r="H143" s="18"/>
      <c r="I143" s="21"/>
    </row>
    <row r="144" spans="1:9" s="11" customFormat="1" ht="12.75" customHeight="1" x14ac:dyDescent="0.2">
      <c r="A144" s="13"/>
      <c r="B144" s="4" t="s">
        <v>121</v>
      </c>
      <c r="C144" s="16">
        <v>8</v>
      </c>
      <c r="E144" s="18"/>
      <c r="F144" s="20"/>
      <c r="G144" s="18"/>
      <c r="H144" s="18"/>
      <c r="I144" s="21"/>
    </row>
    <row r="145" spans="1:9" s="11" customFormat="1" ht="12.75" customHeight="1" x14ac:dyDescent="0.2">
      <c r="A145" s="13"/>
      <c r="B145" s="4" t="s">
        <v>189</v>
      </c>
      <c r="C145" s="16">
        <v>0</v>
      </c>
      <c r="E145" s="18"/>
      <c r="F145" s="20"/>
      <c r="G145" s="18"/>
      <c r="H145" s="18"/>
      <c r="I145" s="21"/>
    </row>
    <row r="146" spans="1:9" s="11" customFormat="1" ht="12.75" customHeight="1" x14ac:dyDescent="0.2">
      <c r="A146" s="13"/>
      <c r="B146" s="4" t="s">
        <v>192</v>
      </c>
      <c r="C146" s="16">
        <v>0</v>
      </c>
      <c r="E146" s="18"/>
      <c r="F146" s="20"/>
      <c r="G146" s="18"/>
      <c r="H146" s="18"/>
      <c r="I146" s="21"/>
    </row>
    <row r="147" spans="1:9" s="11" customFormat="1" ht="12.75" customHeight="1" x14ac:dyDescent="0.2">
      <c r="A147" s="13"/>
      <c r="B147" s="4" t="s">
        <v>65</v>
      </c>
      <c r="C147" s="16">
        <v>27</v>
      </c>
      <c r="E147" s="18"/>
      <c r="F147" s="20"/>
      <c r="G147" s="18"/>
      <c r="H147" s="18"/>
      <c r="I147" s="21"/>
    </row>
    <row r="148" spans="1:9" s="11" customFormat="1" ht="12.75" customHeight="1" x14ac:dyDescent="0.2">
      <c r="A148" s="13"/>
      <c r="B148" s="4" t="s">
        <v>66</v>
      </c>
      <c r="C148" s="16">
        <v>28</v>
      </c>
      <c r="E148" s="18"/>
      <c r="F148" s="20"/>
      <c r="G148" s="18"/>
      <c r="H148" s="18"/>
      <c r="I148" s="21"/>
    </row>
    <row r="149" spans="1:9" s="11" customFormat="1" ht="12.75" customHeight="1" x14ac:dyDescent="0.2">
      <c r="A149" s="13"/>
      <c r="B149" s="4" t="s">
        <v>67</v>
      </c>
      <c r="C149" s="16">
        <v>-3</v>
      </c>
      <c r="E149" s="18"/>
      <c r="F149" s="20"/>
      <c r="G149" s="18"/>
      <c r="H149" s="18"/>
      <c r="I149" s="21"/>
    </row>
    <row r="150" spans="1:9" s="11" customFormat="1" ht="12.75" customHeight="1" x14ac:dyDescent="0.2">
      <c r="A150" s="13"/>
      <c r="B150" s="4" t="s">
        <v>68</v>
      </c>
      <c r="C150" s="16">
        <v>6</v>
      </c>
      <c r="E150" s="18"/>
      <c r="F150" s="20"/>
      <c r="G150" s="18"/>
      <c r="H150" s="18"/>
      <c r="I150" s="21"/>
    </row>
    <row r="151" spans="1:9" s="11" customFormat="1" ht="12.75" customHeight="1" x14ac:dyDescent="0.2">
      <c r="A151" s="13"/>
      <c r="B151" s="4" t="s">
        <v>117</v>
      </c>
      <c r="C151" s="16">
        <v>4</v>
      </c>
      <c r="E151" s="18"/>
      <c r="F151" s="20"/>
      <c r="G151" s="18"/>
      <c r="H151" s="18"/>
      <c r="I151" s="21"/>
    </row>
    <row r="152" spans="1:9" s="11" customFormat="1" ht="12.75" customHeight="1" x14ac:dyDescent="0.2">
      <c r="A152" s="13"/>
      <c r="B152" s="4" t="s">
        <v>69</v>
      </c>
      <c r="C152" s="16">
        <v>-12</v>
      </c>
      <c r="E152" s="18"/>
      <c r="F152" s="20"/>
      <c r="G152" s="18"/>
      <c r="H152" s="18"/>
      <c r="I152" s="21"/>
    </row>
    <row r="153" spans="1:9" s="11" customFormat="1" ht="12.75" customHeight="1" x14ac:dyDescent="0.2">
      <c r="A153" s="13"/>
      <c r="B153" s="4" t="s">
        <v>122</v>
      </c>
      <c r="C153" s="16">
        <v>-10</v>
      </c>
      <c r="E153" s="18"/>
      <c r="F153" s="20"/>
      <c r="G153" s="18"/>
      <c r="H153" s="18"/>
      <c r="I153" s="21"/>
    </row>
    <row r="154" spans="1:9" s="11" customFormat="1" ht="12.75" customHeight="1" x14ac:dyDescent="0.2">
      <c r="A154" s="13"/>
      <c r="B154" s="4" t="s">
        <v>70</v>
      </c>
      <c r="C154" s="16">
        <v>9</v>
      </c>
      <c r="E154" s="18"/>
      <c r="F154" s="20"/>
      <c r="G154" s="18"/>
      <c r="H154" s="18"/>
      <c r="I154" s="21"/>
    </row>
    <row r="155" spans="1:9" s="11" customFormat="1" ht="12.75" customHeight="1" x14ac:dyDescent="0.2">
      <c r="A155" s="13"/>
      <c r="B155" s="4" t="s">
        <v>71</v>
      </c>
      <c r="C155" s="16">
        <v>7</v>
      </c>
      <c r="E155" s="18"/>
      <c r="F155" s="20"/>
      <c r="G155" s="18"/>
      <c r="H155" s="18"/>
      <c r="I155" s="21"/>
    </row>
    <row r="156" spans="1:9" s="11" customFormat="1" ht="12.75" customHeight="1" x14ac:dyDescent="0.2">
      <c r="A156" s="13"/>
      <c r="B156" s="4" t="s">
        <v>151</v>
      </c>
      <c r="C156" s="16">
        <v>-1</v>
      </c>
      <c r="E156" s="18"/>
      <c r="F156" s="20"/>
      <c r="G156" s="18"/>
      <c r="H156" s="18"/>
      <c r="I156" s="21"/>
    </row>
    <row r="157" spans="1:9" s="11" customFormat="1" ht="12.75" customHeight="1" x14ac:dyDescent="0.2">
      <c r="A157" s="13"/>
      <c r="B157" s="4" t="s">
        <v>72</v>
      </c>
      <c r="C157" s="16">
        <v>13</v>
      </c>
      <c r="E157" s="18"/>
      <c r="F157" s="20"/>
      <c r="G157" s="18"/>
      <c r="H157" s="18"/>
      <c r="I157" s="21"/>
    </row>
    <row r="158" spans="1:9" s="11" customFormat="1" ht="12.75" customHeight="1" x14ac:dyDescent="0.2">
      <c r="A158" s="13"/>
      <c r="B158" s="4" t="s">
        <v>134</v>
      </c>
      <c r="C158" s="16">
        <v>-2</v>
      </c>
      <c r="E158" s="18"/>
      <c r="F158" s="20"/>
      <c r="G158" s="18"/>
      <c r="H158" s="18"/>
      <c r="I158" s="21"/>
    </row>
    <row r="159" spans="1:9" s="11" customFormat="1" ht="12.75" customHeight="1" x14ac:dyDescent="0.2">
      <c r="A159" s="13"/>
      <c r="B159" s="4" t="s">
        <v>73</v>
      </c>
      <c r="C159" s="16">
        <v>53</v>
      </c>
      <c r="E159" s="18"/>
      <c r="F159" s="20"/>
      <c r="G159" s="18"/>
      <c r="H159" s="18"/>
      <c r="I159" s="21"/>
    </row>
    <row r="160" spans="1:9" s="11" customFormat="1" ht="12.75" customHeight="1" x14ac:dyDescent="0.2">
      <c r="A160" s="13"/>
      <c r="B160" s="4" t="s">
        <v>186</v>
      </c>
      <c r="C160" s="16">
        <v>0</v>
      </c>
      <c r="E160" s="18"/>
      <c r="F160" s="20"/>
      <c r="G160" s="18"/>
      <c r="H160" s="18"/>
      <c r="I160" s="21"/>
    </row>
    <row r="161" spans="1:9" s="11" customFormat="1" ht="12.75" customHeight="1" x14ac:dyDescent="0.2">
      <c r="A161" s="13"/>
      <c r="B161" s="4" t="s">
        <v>74</v>
      </c>
      <c r="C161" s="16">
        <v>-3</v>
      </c>
      <c r="E161" s="18"/>
      <c r="F161" s="20"/>
      <c r="G161" s="18"/>
      <c r="H161" s="18"/>
      <c r="I161" s="21"/>
    </row>
    <row r="162" spans="1:9" s="11" customFormat="1" ht="12.75" customHeight="1" x14ac:dyDescent="0.2">
      <c r="A162" s="13"/>
      <c r="B162" s="4" t="s">
        <v>138</v>
      </c>
      <c r="C162" s="16">
        <v>-4</v>
      </c>
      <c r="E162" s="18"/>
      <c r="F162" s="20"/>
      <c r="G162" s="18"/>
      <c r="H162" s="18"/>
      <c r="I162" s="21"/>
    </row>
    <row r="163" spans="1:9" s="11" customFormat="1" ht="12.75" customHeight="1" x14ac:dyDescent="0.2">
      <c r="A163" s="13"/>
      <c r="B163" s="4" t="s">
        <v>125</v>
      </c>
      <c r="C163" s="16">
        <v>-12</v>
      </c>
      <c r="E163" s="18"/>
      <c r="F163" s="20"/>
      <c r="G163" s="18"/>
      <c r="H163" s="18"/>
      <c r="I163" s="21"/>
    </row>
    <row r="164" spans="1:9" s="11" customFormat="1" ht="12.75" customHeight="1" x14ac:dyDescent="0.2">
      <c r="A164" s="13"/>
      <c r="B164" s="5" t="s">
        <v>77</v>
      </c>
      <c r="C164" s="16">
        <v>70</v>
      </c>
      <c r="E164" s="18"/>
      <c r="F164" s="20"/>
      <c r="G164" s="18"/>
      <c r="H164" s="18"/>
      <c r="I164" s="21"/>
    </row>
    <row r="165" spans="1:9" s="11" customFormat="1" ht="12.75" customHeight="1" x14ac:dyDescent="0.2">
      <c r="A165" s="13"/>
      <c r="B165" s="4" t="s">
        <v>147</v>
      </c>
      <c r="C165" s="16">
        <v>-3</v>
      </c>
      <c r="E165" s="18"/>
      <c r="F165" s="20"/>
      <c r="G165" s="18"/>
      <c r="H165" s="18"/>
      <c r="I165" s="21"/>
    </row>
    <row r="166" spans="1:9" s="11" customFormat="1" ht="12.75" customHeight="1" x14ac:dyDescent="0.2">
      <c r="A166" s="13"/>
      <c r="B166" s="4" t="s">
        <v>78</v>
      </c>
      <c r="C166" s="16">
        <v>27</v>
      </c>
      <c r="E166" s="18"/>
      <c r="F166" s="20"/>
      <c r="G166" s="18"/>
      <c r="H166" s="18"/>
      <c r="I166" s="21"/>
    </row>
    <row r="167" spans="1:9" s="11" customFormat="1" ht="12.75" customHeight="1" x14ac:dyDescent="0.2">
      <c r="A167" s="13"/>
      <c r="B167" s="4" t="s">
        <v>79</v>
      </c>
      <c r="C167" s="16">
        <v>10</v>
      </c>
      <c r="E167" s="18"/>
      <c r="F167" s="20"/>
      <c r="G167" s="18"/>
      <c r="H167" s="18"/>
      <c r="I167" s="21"/>
    </row>
    <row r="168" spans="1:9" s="11" customFormat="1" ht="12.75" customHeight="1" x14ac:dyDescent="0.2">
      <c r="A168" s="13"/>
      <c r="B168" s="4" t="s">
        <v>80</v>
      </c>
      <c r="C168" s="16">
        <v>36</v>
      </c>
      <c r="E168" s="18"/>
      <c r="F168" s="20"/>
      <c r="G168" s="18"/>
      <c r="H168" s="18"/>
      <c r="I168" s="21"/>
    </row>
    <row r="169" spans="1:9" s="11" customFormat="1" ht="12.75" customHeight="1" x14ac:dyDescent="0.2">
      <c r="A169" s="13"/>
      <c r="B169" s="4" t="s">
        <v>111</v>
      </c>
      <c r="C169" s="16">
        <v>-3</v>
      </c>
      <c r="E169" s="18"/>
      <c r="F169" s="20"/>
      <c r="G169" s="18"/>
      <c r="H169" s="18"/>
      <c r="I169" s="21"/>
    </row>
    <row r="170" spans="1:9" s="11" customFormat="1" ht="12.75" customHeight="1" x14ac:dyDescent="0.2">
      <c r="A170" s="13"/>
      <c r="B170" s="4" t="s">
        <v>132</v>
      </c>
      <c r="C170" s="16">
        <v>-6</v>
      </c>
      <c r="E170" s="18"/>
      <c r="F170" s="20"/>
      <c r="G170" s="18"/>
      <c r="H170" s="18"/>
      <c r="I170" s="21"/>
    </row>
    <row r="171" spans="1:9" s="11" customFormat="1" ht="12.75" customHeight="1" x14ac:dyDescent="0.2">
      <c r="A171" s="13"/>
      <c r="B171" s="4" t="s">
        <v>81</v>
      </c>
      <c r="C171" s="16">
        <v>37</v>
      </c>
      <c r="E171" s="18"/>
      <c r="F171" s="20"/>
      <c r="G171" s="18"/>
      <c r="H171" s="18"/>
      <c r="I171" s="21"/>
    </row>
    <row r="172" spans="1:9" s="11" customFormat="1" ht="12.75" customHeight="1" x14ac:dyDescent="0.2">
      <c r="A172" s="13"/>
      <c r="B172" s="4" t="s">
        <v>82</v>
      </c>
      <c r="C172" s="16">
        <v>49</v>
      </c>
      <c r="E172" s="18"/>
      <c r="F172" s="20"/>
      <c r="G172" s="18"/>
      <c r="H172" s="18"/>
      <c r="I172" s="21"/>
    </row>
    <row r="173" spans="1:9" s="11" customFormat="1" ht="12.75" customHeight="1" x14ac:dyDescent="0.2">
      <c r="A173" s="13"/>
      <c r="B173" s="4" t="s">
        <v>193</v>
      </c>
      <c r="C173" s="16">
        <v>0</v>
      </c>
      <c r="E173" s="18"/>
      <c r="F173" s="20"/>
      <c r="G173" s="18"/>
      <c r="H173" s="18"/>
      <c r="I173" s="21"/>
    </row>
    <row r="174" spans="1:9" s="11" customFormat="1" ht="12.75" customHeight="1" x14ac:dyDescent="0.2">
      <c r="A174" s="13"/>
      <c r="B174" s="4" t="s">
        <v>83</v>
      </c>
      <c r="C174" s="16">
        <v>-7</v>
      </c>
      <c r="E174" s="18"/>
      <c r="F174" s="20"/>
      <c r="G174" s="18"/>
      <c r="H174" s="18"/>
      <c r="I174" s="21"/>
    </row>
    <row r="175" spans="1:9" s="11" customFormat="1" ht="12.75" customHeight="1" x14ac:dyDescent="0.2">
      <c r="A175" s="13"/>
      <c r="B175" s="4" t="s">
        <v>153</v>
      </c>
      <c r="C175" s="16">
        <v>3</v>
      </c>
      <c r="E175" s="18"/>
      <c r="F175" s="20"/>
      <c r="G175" s="18"/>
      <c r="H175" s="18"/>
      <c r="I175" s="21"/>
    </row>
    <row r="176" spans="1:9" s="11" customFormat="1" ht="12.75" customHeight="1" x14ac:dyDescent="0.2">
      <c r="A176" s="13"/>
      <c r="B176" s="4" t="s">
        <v>84</v>
      </c>
      <c r="C176" s="16">
        <v>14</v>
      </c>
      <c r="E176" s="18"/>
      <c r="F176" s="20"/>
      <c r="G176" s="18"/>
      <c r="H176" s="18"/>
      <c r="I176" s="21"/>
    </row>
    <row r="177" spans="1:9" s="11" customFormat="1" ht="12.75" customHeight="1" x14ac:dyDescent="0.2">
      <c r="A177" s="13"/>
      <c r="B177" s="4" t="s">
        <v>128</v>
      </c>
      <c r="C177" s="16">
        <v>9</v>
      </c>
      <c r="E177" s="18"/>
      <c r="F177" s="20"/>
      <c r="G177" s="18"/>
      <c r="H177" s="18"/>
      <c r="I177" s="21"/>
    </row>
    <row r="178" spans="1:9" s="11" customFormat="1" ht="12.75" customHeight="1" x14ac:dyDescent="0.2">
      <c r="A178" s="13"/>
      <c r="B178" s="4" t="s">
        <v>85</v>
      </c>
      <c r="C178" s="16">
        <v>13</v>
      </c>
      <c r="E178" s="18"/>
      <c r="F178" s="20"/>
      <c r="G178" s="18"/>
      <c r="H178" s="18"/>
      <c r="I178" s="21"/>
    </row>
    <row r="179" spans="1:9" s="11" customFormat="1" ht="12.75" customHeight="1" x14ac:dyDescent="0.2">
      <c r="A179" s="13"/>
      <c r="B179" s="4" t="s">
        <v>140</v>
      </c>
      <c r="C179" s="16">
        <v>0</v>
      </c>
      <c r="E179" s="18"/>
      <c r="F179" s="20"/>
      <c r="G179" s="18"/>
      <c r="H179" s="18"/>
      <c r="I179" s="21"/>
    </row>
    <row r="180" spans="1:9" s="11" customFormat="1" ht="12.75" customHeight="1" x14ac:dyDescent="0.2">
      <c r="A180" s="13"/>
      <c r="B180" s="5" t="s">
        <v>86</v>
      </c>
      <c r="C180" s="16">
        <v>136</v>
      </c>
      <c r="E180" s="18"/>
      <c r="F180" s="20"/>
      <c r="G180" s="18"/>
      <c r="H180" s="18"/>
      <c r="I180" s="21"/>
    </row>
    <row r="181" spans="1:9" s="11" customFormat="1" ht="12.75" customHeight="1" x14ac:dyDescent="0.2">
      <c r="A181" s="13"/>
      <c r="B181" s="5" t="s">
        <v>87</v>
      </c>
      <c r="C181" s="16">
        <v>188</v>
      </c>
      <c r="E181" s="18"/>
      <c r="F181" s="20"/>
      <c r="G181" s="18"/>
      <c r="H181" s="18"/>
      <c r="I181" s="21"/>
    </row>
    <row r="182" spans="1:9" s="11" customFormat="1" ht="12.75" customHeight="1" x14ac:dyDescent="0.2">
      <c r="A182" s="13"/>
      <c r="B182" s="4" t="s">
        <v>89</v>
      </c>
      <c r="C182" s="16">
        <v>27</v>
      </c>
      <c r="E182" s="18"/>
      <c r="F182" s="20"/>
      <c r="G182" s="18"/>
      <c r="H182" s="18"/>
      <c r="I182" s="21"/>
    </row>
    <row r="183" spans="1:9" s="11" customFormat="1" ht="12.75" customHeight="1" x14ac:dyDescent="0.2">
      <c r="A183" s="13"/>
      <c r="B183" s="4" t="s">
        <v>90</v>
      </c>
      <c r="C183" s="16">
        <v>5</v>
      </c>
      <c r="E183" s="18"/>
      <c r="F183" s="20"/>
      <c r="G183" s="18"/>
      <c r="H183" s="18"/>
      <c r="I183" s="21"/>
    </row>
    <row r="184" spans="1:9" s="11" customFormat="1" ht="12.75" customHeight="1" x14ac:dyDescent="0.2">
      <c r="A184" s="13"/>
      <c r="B184" s="4" t="s">
        <v>109</v>
      </c>
      <c r="C184" s="16">
        <v>5</v>
      </c>
      <c r="E184" s="18"/>
      <c r="F184" s="20"/>
      <c r="G184" s="18"/>
      <c r="H184" s="18"/>
      <c r="I184" s="21"/>
    </row>
    <row r="185" spans="1:9" s="11" customFormat="1" ht="12.75" customHeight="1" x14ac:dyDescent="0.2">
      <c r="A185" s="13"/>
      <c r="B185" s="4" t="s">
        <v>152</v>
      </c>
      <c r="C185" s="16">
        <v>1</v>
      </c>
      <c r="E185" s="18"/>
      <c r="F185" s="20"/>
      <c r="G185" s="18"/>
      <c r="H185" s="18"/>
      <c r="I185" s="21"/>
    </row>
    <row r="186" spans="1:9" s="11" customFormat="1" ht="12.75" customHeight="1" x14ac:dyDescent="0.2">
      <c r="A186" s="13"/>
      <c r="B186" s="4" t="s">
        <v>91</v>
      </c>
      <c r="C186" s="16">
        <v>57</v>
      </c>
      <c r="E186" s="18"/>
      <c r="F186" s="20"/>
      <c r="G186" s="18"/>
      <c r="H186" s="18"/>
      <c r="I186" s="21"/>
    </row>
    <row r="187" spans="1:9" s="11" customFormat="1" ht="12.75" customHeight="1" x14ac:dyDescent="0.2">
      <c r="A187" s="13"/>
      <c r="B187" s="4" t="s">
        <v>197</v>
      </c>
      <c r="C187" s="16">
        <v>0</v>
      </c>
      <c r="E187" s="18"/>
      <c r="F187" s="20"/>
      <c r="G187" s="18"/>
      <c r="H187" s="18"/>
      <c r="I187" s="21"/>
    </row>
    <row r="188" spans="1:9" s="11" customFormat="1" ht="12.75" customHeight="1" x14ac:dyDescent="0.2">
      <c r="A188" s="13"/>
      <c r="B188" s="4" t="s">
        <v>190</v>
      </c>
      <c r="C188" s="16">
        <v>0</v>
      </c>
      <c r="E188" s="18"/>
      <c r="F188" s="20"/>
      <c r="G188" s="18"/>
      <c r="H188" s="18"/>
      <c r="I188" s="21"/>
    </row>
    <row r="189" spans="1:9" s="11" customFormat="1" ht="12.75" customHeight="1" x14ac:dyDescent="0.2">
      <c r="A189" s="13"/>
      <c r="B189" s="4" t="s">
        <v>198</v>
      </c>
      <c r="C189" s="16">
        <v>0</v>
      </c>
      <c r="E189" s="18"/>
      <c r="F189" s="20"/>
      <c r="G189" s="18"/>
      <c r="H189" s="18"/>
      <c r="I189" s="21"/>
    </row>
    <row r="190" spans="1:9" s="11" customFormat="1" ht="12.75" customHeight="1" x14ac:dyDescent="0.2">
      <c r="A190" s="13"/>
      <c r="B190" s="4" t="s">
        <v>131</v>
      </c>
      <c r="C190" s="16">
        <v>-5</v>
      </c>
      <c r="E190" s="18"/>
      <c r="F190" s="20"/>
      <c r="G190" s="18"/>
      <c r="H190" s="18"/>
      <c r="I190" s="21"/>
    </row>
    <row r="191" spans="1:9" s="11" customFormat="1" ht="12.75" customHeight="1" x14ac:dyDescent="0.2">
      <c r="A191" s="13"/>
      <c r="B191" s="4" t="s">
        <v>95</v>
      </c>
      <c r="C191" s="16">
        <v>4</v>
      </c>
      <c r="E191" s="18"/>
      <c r="F191" s="20"/>
      <c r="G191" s="18"/>
      <c r="H191" s="18"/>
      <c r="I191" s="21"/>
    </row>
    <row r="192" spans="1:9" s="11" customFormat="1" ht="12.75" customHeight="1" x14ac:dyDescent="0.2">
      <c r="A192" s="13"/>
      <c r="B192" s="4" t="s">
        <v>96</v>
      </c>
      <c r="C192" s="16">
        <v>0</v>
      </c>
      <c r="E192" s="18"/>
      <c r="F192" s="20"/>
      <c r="G192" s="18"/>
      <c r="H192" s="18"/>
      <c r="I192" s="21"/>
    </row>
    <row r="193" spans="1:9" s="11" customFormat="1" ht="12.75" customHeight="1" x14ac:dyDescent="0.2">
      <c r="A193" s="13"/>
      <c r="B193" s="4" t="s">
        <v>162</v>
      </c>
      <c r="C193" s="16">
        <v>-9</v>
      </c>
      <c r="E193" s="18"/>
      <c r="F193" s="20"/>
      <c r="G193" s="18"/>
      <c r="H193" s="18"/>
      <c r="I193" s="21"/>
    </row>
    <row r="194" spans="1:9" s="11" customFormat="1" ht="12.75" customHeight="1" x14ac:dyDescent="0.2">
      <c r="A194" s="13"/>
      <c r="B194" s="4" t="s">
        <v>129</v>
      </c>
      <c r="C194" s="16">
        <v>0</v>
      </c>
      <c r="E194" s="18"/>
      <c r="F194" s="20"/>
      <c r="G194" s="18"/>
      <c r="H194" s="18"/>
      <c r="I194" s="21"/>
    </row>
    <row r="195" spans="1:9" s="11" customFormat="1" ht="12.75" customHeight="1" x14ac:dyDescent="0.2">
      <c r="A195" s="13"/>
      <c r="B195" s="4" t="s">
        <v>166</v>
      </c>
      <c r="C195" s="16">
        <v>-9</v>
      </c>
      <c r="E195" s="18"/>
      <c r="F195" s="20"/>
      <c r="G195" s="18"/>
      <c r="H195" s="18"/>
      <c r="I195" s="21"/>
    </row>
    <row r="196" spans="1:9" s="11" customFormat="1" ht="12.75" customHeight="1" x14ac:dyDescent="0.2">
      <c r="A196" s="13"/>
      <c r="B196" s="4" t="s">
        <v>97</v>
      </c>
      <c r="C196" s="16">
        <v>12</v>
      </c>
      <c r="E196" s="18"/>
      <c r="F196" s="20"/>
      <c r="G196" s="18"/>
      <c r="H196" s="18"/>
      <c r="I196" s="21"/>
    </row>
    <row r="197" spans="1:9" s="11" customFormat="1" ht="12.75" customHeight="1" x14ac:dyDescent="0.2">
      <c r="A197" s="13"/>
      <c r="B197" s="4" t="s">
        <v>98</v>
      </c>
      <c r="C197" s="16">
        <v>39</v>
      </c>
      <c r="E197" s="18"/>
      <c r="F197" s="20"/>
      <c r="G197" s="18"/>
      <c r="H197" s="18"/>
      <c r="I197" s="21"/>
    </row>
    <row r="198" spans="1:9" s="11" customFormat="1" ht="12.75" customHeight="1" x14ac:dyDescent="0.2">
      <c r="A198" s="13"/>
      <c r="B198" s="4" t="s">
        <v>99</v>
      </c>
      <c r="C198" s="16">
        <v>42</v>
      </c>
      <c r="E198" s="18"/>
      <c r="F198" s="20"/>
      <c r="G198" s="18"/>
      <c r="H198" s="18"/>
      <c r="I198" s="21"/>
    </row>
    <row r="199" spans="1:9" s="11" customFormat="1" ht="12.75" customHeight="1" x14ac:dyDescent="0.2">
      <c r="A199" s="13"/>
      <c r="B199" s="4" t="s">
        <v>158</v>
      </c>
      <c r="C199" s="16">
        <v>-11</v>
      </c>
      <c r="E199" s="18"/>
      <c r="F199" s="20"/>
      <c r="G199" s="18"/>
      <c r="H199" s="18"/>
      <c r="I199" s="21"/>
    </row>
    <row r="200" spans="1:9" s="11" customFormat="1" ht="12.75" customHeight="1" x14ac:dyDescent="0.2">
      <c r="A200" s="13"/>
      <c r="B200" s="4" t="s">
        <v>136</v>
      </c>
      <c r="C200" s="16">
        <v>2</v>
      </c>
      <c r="E200" s="18"/>
      <c r="F200" s="20"/>
      <c r="G200" s="18"/>
      <c r="H200" s="18"/>
      <c r="I200" s="21"/>
    </row>
    <row r="201" spans="1:9" s="11" customFormat="1" ht="12.75" customHeight="1" x14ac:dyDescent="0.2">
      <c r="A201" s="13"/>
      <c r="B201" s="4" t="s">
        <v>201</v>
      </c>
      <c r="C201" s="16">
        <v>0</v>
      </c>
      <c r="E201" s="18"/>
      <c r="F201" s="20"/>
      <c r="G201" s="18"/>
      <c r="H201" s="18"/>
      <c r="I201" s="21"/>
    </row>
    <row r="202" spans="1:9" s="11" customFormat="1" ht="12.75" customHeight="1" thickBot="1" x14ac:dyDescent="0.25">
      <c r="A202" s="13"/>
      <c r="B202" s="9" t="s">
        <v>102</v>
      </c>
      <c r="C202" s="17">
        <v>4</v>
      </c>
      <c r="E202" s="18"/>
      <c r="F202" s="20"/>
      <c r="G202" s="18"/>
      <c r="H202" s="18"/>
      <c r="I202" s="21"/>
    </row>
  </sheetData>
  <mergeCells count="4">
    <mergeCell ref="F1:F2"/>
    <mergeCell ref="E1:E2"/>
    <mergeCell ref="B1:B2"/>
    <mergeCell ref="C1:C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202"/>
  <sheetViews>
    <sheetView tabSelected="1" workbookViewId="0">
      <pane xSplit="4" ySplit="2" topLeftCell="E3" activePane="bottomRight" state="frozen"/>
      <selection pane="topRight" activeCell="F1" sqref="F1"/>
      <selection pane="bottomLeft" activeCell="A8" sqref="A8"/>
      <selection pane="bottomRight" activeCell="I7" sqref="I7"/>
    </sheetView>
  </sheetViews>
  <sheetFormatPr baseColWidth="10" defaultRowHeight="12.75" x14ac:dyDescent="0.2"/>
  <cols>
    <col min="1" max="1" width="1.28515625" style="12" customWidth="1"/>
    <col min="2" max="2" width="3.7109375" style="1" customWidth="1"/>
    <col min="3" max="3" width="36.28515625" style="10" customWidth="1"/>
    <col min="4" max="4" width="15" style="2" customWidth="1"/>
    <col min="5" max="5" width="7.85546875" style="2" customWidth="1"/>
    <col min="6" max="6" width="2.140625" style="10" customWidth="1"/>
    <col min="7" max="7" width="9.85546875" style="31" customWidth="1"/>
    <col min="8" max="16384" width="11.42578125" style="10"/>
  </cols>
  <sheetData>
    <row r="1" spans="1:11" ht="11.25" customHeight="1" x14ac:dyDescent="0.2">
      <c r="B1" s="26" t="s">
        <v>0</v>
      </c>
      <c r="C1" s="22" t="s">
        <v>1</v>
      </c>
      <c r="D1" s="22" t="s">
        <v>170</v>
      </c>
      <c r="E1" s="28" t="s">
        <v>203</v>
      </c>
      <c r="G1" s="29"/>
    </row>
    <row r="2" spans="1:11" ht="41.25" customHeight="1" thickBot="1" x14ac:dyDescent="0.25">
      <c r="B2" s="27"/>
      <c r="C2" s="23"/>
      <c r="D2" s="23"/>
      <c r="E2" s="28"/>
      <c r="G2" s="29" t="s">
        <v>204</v>
      </c>
      <c r="H2" s="10" t="s">
        <v>206</v>
      </c>
      <c r="I2" s="10" t="s">
        <v>207</v>
      </c>
    </row>
    <row r="3" spans="1:11" s="11" customFormat="1" ht="12" thickBot="1" x14ac:dyDescent="0.25">
      <c r="A3" s="13"/>
      <c r="B3" s="3">
        <v>1</v>
      </c>
      <c r="C3" s="7" t="s">
        <v>2</v>
      </c>
      <c r="D3" s="14">
        <v>2</v>
      </c>
      <c r="E3" s="18">
        <v>1</v>
      </c>
      <c r="G3" s="30">
        <f>D3-E3</f>
        <v>1</v>
      </c>
      <c r="H3" s="11">
        <f>VLOOKUP(C3,Hoja2!A:B,2,FALSE)</f>
        <v>1421164</v>
      </c>
      <c r="I3" s="11" t="str">
        <f>VLOOKUP(C3,Hoja2!A:C,3,FALSE)</f>
        <v>1a16@asokam.mx</v>
      </c>
    </row>
    <row r="4" spans="1:11" s="11" customFormat="1" ht="12" thickBot="1" x14ac:dyDescent="0.25">
      <c r="A4" s="13"/>
      <c r="B4" s="3">
        <f>+B3+1</f>
        <v>2</v>
      </c>
      <c r="C4" s="8" t="s">
        <v>150</v>
      </c>
      <c r="D4" s="15">
        <v>3</v>
      </c>
      <c r="E4" s="18">
        <v>2</v>
      </c>
      <c r="G4" s="30">
        <f>D4-E4</f>
        <v>1</v>
      </c>
      <c r="H4" s="11">
        <f>VLOOKUP(C4,Hoja2!A:B,2,FALSE)</f>
        <v>1123473</v>
      </c>
      <c r="I4" s="11" t="str">
        <f>VLOOKUP(C4,Hoja2!A:C,3,FALSE)</f>
        <v>1cm4@construmedika.com</v>
      </c>
    </row>
    <row r="5" spans="1:11" s="11" customFormat="1" ht="12" thickBot="1" x14ac:dyDescent="0.25">
      <c r="A5" s="13"/>
      <c r="B5" s="3">
        <f t="shared" ref="B5:B64" si="0">+B4+1</f>
        <v>3</v>
      </c>
      <c r="C5" s="8" t="s">
        <v>3</v>
      </c>
      <c r="D5" s="15">
        <v>33</v>
      </c>
      <c r="E5" s="18">
        <v>3</v>
      </c>
      <c r="G5" s="30">
        <f>D5-E5</f>
        <v>30</v>
      </c>
      <c r="H5" s="11">
        <f>VLOOKUP(C5,Hoja2!A:B,2,FALSE)</f>
        <v>1525231</v>
      </c>
      <c r="I5" s="11" t="str">
        <f>VLOOKUP(C5,Hoja2!A:C,3,FALSE)</f>
        <v>2g6@lefarma.com.mx</v>
      </c>
    </row>
    <row r="6" spans="1:11" s="11" customFormat="1" ht="12" thickBot="1" x14ac:dyDescent="0.25">
      <c r="A6" s="13"/>
      <c r="B6" s="3">
        <f t="shared" si="0"/>
        <v>4</v>
      </c>
      <c r="C6" s="4" t="s">
        <v>156</v>
      </c>
      <c r="D6" s="15">
        <v>3</v>
      </c>
      <c r="E6" s="18"/>
      <c r="G6" s="30">
        <f>D6-E6</f>
        <v>3</v>
      </c>
      <c r="H6" s="11">
        <f>VLOOKUP(C6,Hoja2!A:B,2,FALSE)</f>
        <v>1420484</v>
      </c>
      <c r="I6" s="11" t="str">
        <f>VLOOKUP(C6,Hoja2!A:C,3,FALSE)</f>
        <v>1a14@asokam.mx</v>
      </c>
    </row>
    <row r="7" spans="1:11" s="11" customFormat="1" ht="12" thickBot="1" x14ac:dyDescent="0.25">
      <c r="A7" s="13"/>
      <c r="B7" s="3">
        <f t="shared" si="0"/>
        <v>5</v>
      </c>
      <c r="C7" s="4" t="s">
        <v>110</v>
      </c>
      <c r="D7" s="15">
        <v>8</v>
      </c>
      <c r="E7" s="18">
        <v>8</v>
      </c>
      <c r="G7" s="30">
        <f>D7-E7</f>
        <v>0</v>
      </c>
      <c r="H7" s="11">
        <f>VLOOKUP(C7,Hoja2!A:B,2,FALSE)</f>
        <v>1526292</v>
      </c>
      <c r="I7" s="11" t="str">
        <f>VLOOKUP(C7,Hoja2!A:C,3,FALSE)</f>
        <v>2g22@lefarma.com.mx</v>
      </c>
    </row>
    <row r="8" spans="1:11" s="11" customFormat="1" ht="12" thickBot="1" x14ac:dyDescent="0.25">
      <c r="A8" s="13"/>
      <c r="B8" s="3">
        <f t="shared" si="0"/>
        <v>6</v>
      </c>
      <c r="C8" s="4" t="s">
        <v>7</v>
      </c>
      <c r="D8" s="15">
        <v>19</v>
      </c>
      <c r="E8" s="18"/>
      <c r="G8" s="30">
        <f>D8-E8</f>
        <v>19</v>
      </c>
      <c r="H8" s="11">
        <f>VLOOKUP(C8,Hoja2!A:B,2,FALSE)</f>
        <v>1525230</v>
      </c>
      <c r="I8" s="11" t="str">
        <f>VLOOKUP(C8,Hoja2!A:C,3,FALSE)</f>
        <v>2g8@lefarma.com.mx</v>
      </c>
    </row>
    <row r="9" spans="1:11" s="11" customFormat="1" ht="12" thickBot="1" x14ac:dyDescent="0.25">
      <c r="A9" s="13"/>
      <c r="B9" s="3">
        <f t="shared" si="0"/>
        <v>7</v>
      </c>
      <c r="C9" s="4" t="s">
        <v>8</v>
      </c>
      <c r="D9" s="15">
        <v>10</v>
      </c>
      <c r="E9" s="18">
        <v>2</v>
      </c>
      <c r="G9" s="30">
        <f>D9-E9</f>
        <v>8</v>
      </c>
      <c r="H9" s="11">
        <f>VLOOKUP(C9,Hoja2!A:B,2,FALSE)</f>
        <v>1420154</v>
      </c>
      <c r="I9" s="11" t="str">
        <f>VLOOKUP(C9,Hoja2!A:C,3,FALSE)</f>
        <v>1a4@asokam.mx</v>
      </c>
    </row>
    <row r="10" spans="1:11" s="11" customFormat="1" ht="12" thickBot="1" x14ac:dyDescent="0.25">
      <c r="A10" s="13"/>
      <c r="B10" s="3">
        <f t="shared" si="0"/>
        <v>8</v>
      </c>
      <c r="C10" s="4" t="s">
        <v>107</v>
      </c>
      <c r="D10" s="15">
        <v>2</v>
      </c>
      <c r="E10" s="18">
        <v>1</v>
      </c>
      <c r="G10" s="30">
        <f>D10-E10</f>
        <v>1</v>
      </c>
      <c r="H10" s="11">
        <f>VLOOKUP(C10,Hoja2!A:B,2,FALSE)</f>
        <v>1418286</v>
      </c>
      <c r="I10" s="11" t="str">
        <f>VLOOKUP(C10,Hoja2!A:C,3,FALSE)</f>
        <v>1a41@asokam.mx</v>
      </c>
    </row>
    <row r="11" spans="1:11" s="11" customFormat="1" ht="12" thickBot="1" x14ac:dyDescent="0.25">
      <c r="A11" s="13"/>
      <c r="B11" s="3">
        <f t="shared" si="0"/>
        <v>9</v>
      </c>
      <c r="C11" s="5" t="s">
        <v>228</v>
      </c>
      <c r="D11" s="15">
        <v>63</v>
      </c>
      <c r="E11" s="18"/>
      <c r="G11" s="30">
        <f>D11-E11</f>
        <v>63</v>
      </c>
      <c r="H11" s="11">
        <f>VLOOKUP(C11,Hoja2!A:B,2,FALSE)</f>
        <v>1524228</v>
      </c>
      <c r="I11" s="11" t="str">
        <f>VLOOKUP(C11,Hoja2!A:C,3,FALSE)</f>
        <v>2g3@lefarma.com.mx</v>
      </c>
      <c r="K11" s="5" t="s">
        <v>10</v>
      </c>
    </row>
    <row r="12" spans="1:11" s="11" customFormat="1" ht="12" thickBot="1" x14ac:dyDescent="0.25">
      <c r="A12" s="13"/>
      <c r="B12" s="3">
        <f t="shared" si="0"/>
        <v>10</v>
      </c>
      <c r="C12" s="4" t="s">
        <v>178</v>
      </c>
      <c r="D12" s="15">
        <v>0</v>
      </c>
      <c r="E12" s="18"/>
      <c r="G12" s="30">
        <f>D12-E12</f>
        <v>0</v>
      </c>
      <c r="H12" s="11">
        <f>VLOOKUP(C12,Hoja2!A:B,2,FALSE)</f>
        <v>1418566</v>
      </c>
      <c r="I12" s="11" t="str">
        <f>VLOOKUP(C12,Hoja2!A:C,3,FALSE)</f>
        <v>1a901@asokam.mx</v>
      </c>
    </row>
    <row r="13" spans="1:11" s="11" customFormat="1" ht="12" thickBot="1" x14ac:dyDescent="0.25">
      <c r="A13" s="13"/>
      <c r="B13" s="3">
        <f t="shared" si="0"/>
        <v>11</v>
      </c>
      <c r="C13" s="4" t="s">
        <v>172</v>
      </c>
      <c r="D13" s="15">
        <v>-6</v>
      </c>
      <c r="E13" s="18">
        <v>1</v>
      </c>
      <c r="G13" s="30">
        <f>D13-E13</f>
        <v>-7</v>
      </c>
      <c r="H13" s="11">
        <f>VLOOKUP(C13,Hoja2!A:B,2,FALSE)</f>
        <v>1418528</v>
      </c>
      <c r="I13" s="11" t="str">
        <f>VLOOKUP(C13,Hoja2!A:C,3,FALSE)</f>
        <v>1a902@asokam.mx</v>
      </c>
    </row>
    <row r="14" spans="1:11" s="11" customFormat="1" ht="12" thickBot="1" x14ac:dyDescent="0.25">
      <c r="A14" s="13"/>
      <c r="B14" s="3">
        <f t="shared" si="0"/>
        <v>12</v>
      </c>
      <c r="C14" s="4" t="s">
        <v>13</v>
      </c>
      <c r="D14" s="15">
        <v>10</v>
      </c>
      <c r="E14" s="18"/>
      <c r="G14" s="30">
        <f>D14-E14</f>
        <v>10</v>
      </c>
      <c r="H14" s="11">
        <f>VLOOKUP(C14,Hoja2!A:B,2,FALSE)</f>
        <v>1528219</v>
      </c>
      <c r="I14" s="11" t="str">
        <f>VLOOKUP(C14,Hoja2!A:C,3,FALSE)</f>
        <v>2g900@lefarma.com.mx</v>
      </c>
    </row>
    <row r="15" spans="1:11" s="11" customFormat="1" ht="12" thickBot="1" x14ac:dyDescent="0.25">
      <c r="A15" s="13"/>
      <c r="B15" s="3">
        <f t="shared" si="0"/>
        <v>13</v>
      </c>
      <c r="C15" s="5" t="s">
        <v>14</v>
      </c>
      <c r="D15" s="15">
        <v>129</v>
      </c>
      <c r="E15" s="18"/>
      <c r="G15" s="30">
        <f>D15-E15</f>
        <v>129</v>
      </c>
      <c r="H15" s="11">
        <f>VLOOKUP(C15,Hoja2!A:B,2,FALSE)</f>
        <v>1526223</v>
      </c>
      <c r="I15" s="11" t="str">
        <f>VLOOKUP(C15,Hoja2!A:C,3,FALSE)</f>
        <v>2g4@lefarma.com.mx</v>
      </c>
    </row>
    <row r="16" spans="1:11" s="11" customFormat="1" ht="12" thickBot="1" x14ac:dyDescent="0.25">
      <c r="A16" s="13"/>
      <c r="B16" s="3">
        <f t="shared" si="0"/>
        <v>14</v>
      </c>
      <c r="C16" s="4" t="s">
        <v>179</v>
      </c>
      <c r="D16" s="15">
        <v>0</v>
      </c>
      <c r="E16" s="18"/>
      <c r="G16" s="30">
        <f>D16-E16</f>
        <v>0</v>
      </c>
      <c r="H16" s="11">
        <f>VLOOKUP(C16,Hoja2!A:B,2,FALSE)</f>
        <v>1123570</v>
      </c>
      <c r="I16" s="11" t="str">
        <f>VLOOKUP(C16,Hoja2!A:C,3,FALSE)</f>
        <v>1cm6@construmedika.com</v>
      </c>
    </row>
    <row r="17" spans="1:9" s="11" customFormat="1" ht="12" thickBot="1" x14ac:dyDescent="0.25">
      <c r="A17" s="13"/>
      <c r="B17" s="3">
        <f t="shared" si="0"/>
        <v>15</v>
      </c>
      <c r="C17" s="4" t="s">
        <v>15</v>
      </c>
      <c r="D17" s="15">
        <v>23</v>
      </c>
      <c r="E17" s="18"/>
      <c r="G17" s="30">
        <f>D17-E17</f>
        <v>23</v>
      </c>
      <c r="H17" s="11">
        <f>VLOOKUP(C17,Hoja2!A:B,2,FALSE)</f>
        <v>1526224</v>
      </c>
      <c r="I17" s="11" t="str">
        <f>VLOOKUP(C17,Hoja2!A:C,3,FALSE)</f>
        <v>2g13@lefarma.com.mx</v>
      </c>
    </row>
    <row r="18" spans="1:9" s="11" customFormat="1" ht="12" thickBot="1" x14ac:dyDescent="0.25">
      <c r="A18" s="13"/>
      <c r="B18" s="3">
        <f t="shared" si="0"/>
        <v>16</v>
      </c>
      <c r="C18" s="4" t="s">
        <v>16</v>
      </c>
      <c r="D18" s="15">
        <v>6</v>
      </c>
      <c r="E18" s="18"/>
      <c r="G18" s="30">
        <f>D18-E18</f>
        <v>6</v>
      </c>
      <c r="H18" s="11">
        <f>VLOOKUP(C18,Hoja2!A:B,2,FALSE)</f>
        <v>1417152</v>
      </c>
      <c r="I18" s="11" t="str">
        <f>VLOOKUP(C18,Hoja2!A:C,3,FALSE)</f>
        <v>1a26@asokam.mx</v>
      </c>
    </row>
    <row r="19" spans="1:9" s="11" customFormat="1" ht="12" thickBot="1" x14ac:dyDescent="0.25">
      <c r="A19" s="13"/>
      <c r="B19" s="3">
        <f t="shared" si="0"/>
        <v>17</v>
      </c>
      <c r="C19" s="4" t="s">
        <v>126</v>
      </c>
      <c r="D19" s="15">
        <v>-4</v>
      </c>
      <c r="E19" s="18"/>
      <c r="G19" s="30">
        <f>D19-E19</f>
        <v>-4</v>
      </c>
      <c r="H19" s="11">
        <f>VLOOKUP(C19,Hoja2!A:B,2,FALSE)</f>
        <v>1524389</v>
      </c>
      <c r="I19" s="11" t="str">
        <f>VLOOKUP(C19,Hoja2!A:C,3,FALSE)</f>
        <v>2g10@lefarma.com.mx</v>
      </c>
    </row>
    <row r="20" spans="1:9" s="11" customFormat="1" ht="12" thickBot="1" x14ac:dyDescent="0.25">
      <c r="A20" s="13"/>
      <c r="B20" s="3">
        <f t="shared" si="0"/>
        <v>18</v>
      </c>
      <c r="C20" s="4" t="s">
        <v>19</v>
      </c>
      <c r="D20" s="15">
        <v>-10</v>
      </c>
      <c r="E20" s="18"/>
      <c r="G20" s="30">
        <f>D20-E20</f>
        <v>-10</v>
      </c>
      <c r="H20" s="11">
        <f>VLOOKUP(C20,Hoja2!A:B,2,FALSE)</f>
        <v>1524227</v>
      </c>
      <c r="I20" s="11" t="str">
        <f>VLOOKUP(C20,Hoja2!A:C,3,FALSE)</f>
        <v>2g12@lefarma.com.mx</v>
      </c>
    </row>
    <row r="21" spans="1:9" s="11" customFormat="1" ht="12" thickBot="1" x14ac:dyDescent="0.25">
      <c r="A21" s="13"/>
      <c r="B21" s="3">
        <f t="shared" si="0"/>
        <v>19</v>
      </c>
      <c r="C21" s="4" t="s">
        <v>177</v>
      </c>
      <c r="D21" s="15">
        <v>0</v>
      </c>
      <c r="E21" s="18"/>
      <c r="G21" s="30">
        <f>D21-E21</f>
        <v>0</v>
      </c>
      <c r="H21" s="11">
        <f>VLOOKUP(C21,Hoja2!A:B,2,FALSE)</f>
        <v>1417563</v>
      </c>
      <c r="I21" s="11" t="str">
        <f>VLOOKUP(C21,Hoja2!A:C,3,FALSE)</f>
        <v>1a37@asokam.mx</v>
      </c>
    </row>
    <row r="22" spans="1:9" s="11" customFormat="1" ht="12" thickBot="1" x14ac:dyDescent="0.25">
      <c r="A22" s="13"/>
      <c r="B22" s="3">
        <f t="shared" si="0"/>
        <v>20</v>
      </c>
      <c r="C22" s="5" t="s">
        <v>26</v>
      </c>
      <c r="D22" s="15">
        <v>139</v>
      </c>
      <c r="E22" s="18">
        <v>3</v>
      </c>
      <c r="G22" s="30">
        <f>D22-E22</f>
        <v>136</v>
      </c>
      <c r="H22" s="11">
        <f>VLOOKUP(C22,Hoja2!A:B,2,FALSE)</f>
        <v>1524226</v>
      </c>
      <c r="I22" s="11" t="str">
        <f>VLOOKUP(C22,Hoja2!A:C,3,FALSE)</f>
        <v>2g9@lefarma.com.mx</v>
      </c>
    </row>
    <row r="23" spans="1:9" s="11" customFormat="1" ht="12" thickBot="1" x14ac:dyDescent="0.25">
      <c r="A23" s="13"/>
      <c r="B23" s="3">
        <f t="shared" si="0"/>
        <v>21</v>
      </c>
      <c r="C23" s="4" t="s">
        <v>114</v>
      </c>
      <c r="D23" s="15">
        <v>-2</v>
      </c>
      <c r="E23" s="18"/>
      <c r="G23" s="30">
        <f>D23-E23</f>
        <v>-2</v>
      </c>
      <c r="H23" s="11">
        <f>VLOOKUP(C23,Hoja2!A:B,2,FALSE)</f>
        <v>1417301</v>
      </c>
      <c r="I23" s="11" t="str">
        <f>VLOOKUP(C23,Hoja2!A:C,3,FALSE)</f>
        <v>1a47@asokam.mx</v>
      </c>
    </row>
    <row r="24" spans="1:9" s="11" customFormat="1" ht="12" thickBot="1" x14ac:dyDescent="0.25">
      <c r="A24" s="13"/>
      <c r="B24" s="3">
        <f t="shared" si="0"/>
        <v>22</v>
      </c>
      <c r="C24" s="7" t="s">
        <v>130</v>
      </c>
      <c r="D24" s="15">
        <v>1</v>
      </c>
      <c r="E24" s="18"/>
      <c r="G24" s="30">
        <f>D24-E24</f>
        <v>1</v>
      </c>
      <c r="H24" s="11">
        <f>VLOOKUP(C24,Hoja2!A:B,2,FALSE)</f>
        <v>1526406</v>
      </c>
      <c r="I24" s="11" t="str">
        <f>VLOOKUP(C24,Hoja2!A:C,3,FALSE)</f>
        <v>2g20@lefarma.com.mx</v>
      </c>
    </row>
    <row r="25" spans="1:9" s="11" customFormat="1" ht="12" thickBot="1" x14ac:dyDescent="0.25">
      <c r="A25" s="13"/>
      <c r="B25" s="3">
        <f t="shared" si="0"/>
        <v>23</v>
      </c>
      <c r="C25" s="4" t="s">
        <v>133</v>
      </c>
      <c r="D25" s="15">
        <v>-3</v>
      </c>
      <c r="E25" s="18"/>
      <c r="G25" s="30">
        <f>D25-E25</f>
        <v>-3</v>
      </c>
      <c r="H25" s="11">
        <f>VLOOKUP(C25,Hoja2!A:B,2,FALSE)</f>
        <v>1524412</v>
      </c>
      <c r="I25" s="11" t="str">
        <f>VLOOKUP(C25,Hoja2!A:C,3,FALSE)</f>
        <v>2g21@lefarma.com.mx</v>
      </c>
    </row>
    <row r="26" spans="1:9" s="11" customFormat="1" ht="12" thickBot="1" x14ac:dyDescent="0.25">
      <c r="A26" s="13"/>
      <c r="B26" s="3">
        <f t="shared" si="0"/>
        <v>24</v>
      </c>
      <c r="C26" s="4" t="s">
        <v>32</v>
      </c>
      <c r="D26" s="15">
        <v>-1</v>
      </c>
      <c r="E26" s="18">
        <v>2</v>
      </c>
      <c r="G26" s="30">
        <f>D26-E26</f>
        <v>-3</v>
      </c>
      <c r="H26" s="11">
        <f>VLOOKUP(C26,Hoja2!A:B,2,FALSE)</f>
        <v>1421163</v>
      </c>
      <c r="I26" s="11" t="str">
        <f>VLOOKUP(C26,Hoja2!A:C,3,FALSE)</f>
        <v>1a34@asokam.mx</v>
      </c>
    </row>
    <row r="27" spans="1:9" s="11" customFormat="1" ht="12" thickBot="1" x14ac:dyDescent="0.25">
      <c r="A27" s="13"/>
      <c r="B27" s="3">
        <f t="shared" si="0"/>
        <v>25</v>
      </c>
      <c r="C27" s="4" t="s">
        <v>135</v>
      </c>
      <c r="D27" s="15">
        <v>1</v>
      </c>
      <c r="E27" s="18">
        <v>2</v>
      </c>
      <c r="G27" s="30">
        <f>D27-E27</f>
        <v>-1</v>
      </c>
      <c r="H27" s="11">
        <f>VLOOKUP(C27,Hoja2!A:B,2,FALSE)</f>
        <v>1417414</v>
      </c>
      <c r="I27" s="11" t="str">
        <f>VLOOKUP(C27,Hoja2!A:C,3,FALSE)</f>
        <v>1a12@asokam.mx</v>
      </c>
    </row>
    <row r="28" spans="1:9" s="11" customFormat="1" ht="12" thickBot="1" x14ac:dyDescent="0.25">
      <c r="A28" s="13"/>
      <c r="B28" s="3">
        <f t="shared" si="0"/>
        <v>26</v>
      </c>
      <c r="C28" s="4" t="s">
        <v>160</v>
      </c>
      <c r="D28" s="15">
        <v>-9</v>
      </c>
      <c r="E28" s="18"/>
      <c r="G28" s="30">
        <f>D28-E28</f>
        <v>-9</v>
      </c>
      <c r="H28" s="11">
        <f>VLOOKUP(C28,Hoja2!A:B,2,FALSE)</f>
        <v>1417499</v>
      </c>
      <c r="I28" s="11" t="str">
        <f>VLOOKUP(C28,Hoja2!A:C,3,FALSE)</f>
        <v>1a6@asokam.mx</v>
      </c>
    </row>
    <row r="29" spans="1:9" s="11" customFormat="1" ht="12" thickBot="1" x14ac:dyDescent="0.25">
      <c r="A29" s="13"/>
      <c r="B29" s="3">
        <f t="shared" si="0"/>
        <v>27</v>
      </c>
      <c r="C29" s="4" t="s">
        <v>35</v>
      </c>
      <c r="D29" s="15">
        <v>13</v>
      </c>
      <c r="E29" s="18"/>
      <c r="G29" s="30">
        <f>D29-E29</f>
        <v>13</v>
      </c>
      <c r="H29" s="11">
        <f>VLOOKUP(C29,Hoja2!A:B,2,FALSE)</f>
        <v>1627212</v>
      </c>
      <c r="I29" s="11" t="str">
        <f>VLOOKUP(C29,Hoja2!A:C,3,FALSE)</f>
        <v>40@grupolefarma.com.mx</v>
      </c>
    </row>
    <row r="30" spans="1:9" s="11" customFormat="1" ht="12" thickBot="1" x14ac:dyDescent="0.25">
      <c r="A30" s="13"/>
      <c r="B30" s="3">
        <f t="shared" si="0"/>
        <v>28</v>
      </c>
      <c r="C30" s="4" t="s">
        <v>37</v>
      </c>
      <c r="D30" s="15">
        <v>1</v>
      </c>
      <c r="E30" s="18"/>
      <c r="G30" s="30">
        <f>D30-E30</f>
        <v>1</v>
      </c>
      <c r="H30" s="11">
        <f>VLOOKUP(C30,Hoja2!A:B,2,FALSE)</f>
        <v>1525232</v>
      </c>
      <c r="I30" s="11" t="str">
        <f>VLOOKUP(C30,Hoja2!A:C,3,FALSE)</f>
        <v>2g14@lefarma.com.mx</v>
      </c>
    </row>
    <row r="31" spans="1:9" s="11" customFormat="1" ht="12" thickBot="1" x14ac:dyDescent="0.25">
      <c r="A31" s="13"/>
      <c r="B31" s="3">
        <f t="shared" si="0"/>
        <v>29</v>
      </c>
      <c r="C31" s="4" t="s">
        <v>148</v>
      </c>
      <c r="D31" s="15">
        <v>5</v>
      </c>
      <c r="E31" s="18">
        <v>1</v>
      </c>
      <c r="G31" s="30">
        <f>D31-E31</f>
        <v>4</v>
      </c>
      <c r="H31" s="11">
        <f>VLOOKUP(C31,Hoja2!A:B,2,FALSE)</f>
        <v>1416466</v>
      </c>
      <c r="I31" s="11" t="str">
        <f>VLOOKUP(C31,Hoja2!A:C,3,FALSE)</f>
        <v>1a130@asokam.mx</v>
      </c>
    </row>
    <row r="32" spans="1:9" s="11" customFormat="1" ht="12" thickBot="1" x14ac:dyDescent="0.25">
      <c r="A32" s="13"/>
      <c r="B32" s="3">
        <f t="shared" si="0"/>
        <v>30</v>
      </c>
      <c r="C32" s="4" t="s">
        <v>41</v>
      </c>
      <c r="D32" s="15">
        <v>6</v>
      </c>
      <c r="E32" s="18"/>
      <c r="G32" s="30">
        <f>D32-E32</f>
        <v>6</v>
      </c>
      <c r="H32" s="11">
        <f>VLOOKUP(C32,Hoja2!A:B,2,FALSE)</f>
        <v>1627181</v>
      </c>
      <c r="I32" s="11" t="str">
        <f>VLOOKUP(C32,Hoja2!A:C,3,FALSE)</f>
        <v>43@grupolefarma.com.mx</v>
      </c>
    </row>
    <row r="33" spans="1:9" s="11" customFormat="1" ht="12" thickBot="1" x14ac:dyDescent="0.25">
      <c r="A33" s="13"/>
      <c r="B33" s="3">
        <f t="shared" si="0"/>
        <v>31</v>
      </c>
      <c r="C33" s="4" t="s">
        <v>115</v>
      </c>
      <c r="D33" s="15">
        <v>8</v>
      </c>
      <c r="E33" s="18"/>
      <c r="G33" s="30">
        <f>D33-E33</f>
        <v>8</v>
      </c>
      <c r="H33" s="11">
        <f>VLOOKUP(C33,Hoja2!A:B,2,FALSE)</f>
        <v>1629309</v>
      </c>
      <c r="I33" s="11" t="str">
        <f>VLOOKUP(C33,Hoja2!A:C,3,FALSE)</f>
        <v>54@grupolefarma.com.mx</v>
      </c>
    </row>
    <row r="34" spans="1:9" s="11" customFormat="1" ht="12" thickBot="1" x14ac:dyDescent="0.25">
      <c r="A34" s="13"/>
      <c r="B34" s="3">
        <f t="shared" si="0"/>
        <v>32</v>
      </c>
      <c r="C34" s="4" t="s">
        <v>45</v>
      </c>
      <c r="D34" s="15">
        <v>-8</v>
      </c>
      <c r="E34" s="18"/>
      <c r="G34" s="30">
        <f>D34-E34</f>
        <v>-8</v>
      </c>
      <c r="H34" s="11">
        <f>VLOOKUP(C34,Hoja2!A:B,2,FALSE)</f>
        <v>1420155</v>
      </c>
      <c r="I34" s="11" t="str">
        <f>VLOOKUP(C34,Hoja2!A:C,3,FALSE)</f>
        <v>1a32@asokam.mx</v>
      </c>
    </row>
    <row r="35" spans="1:9" s="11" customFormat="1" ht="12.75" customHeight="1" thickBot="1" x14ac:dyDescent="0.25">
      <c r="A35" s="13"/>
      <c r="B35" s="3">
        <f t="shared" si="0"/>
        <v>33</v>
      </c>
      <c r="C35" s="4" t="s">
        <v>176</v>
      </c>
      <c r="D35" s="15">
        <v>0</v>
      </c>
      <c r="E35" s="18"/>
      <c r="G35" s="30">
        <f>D35-E35</f>
        <v>0</v>
      </c>
      <c r="H35" s="11">
        <f>VLOOKUP(C35,Hoja2!A:B,2,FALSE)</f>
        <v>1420549</v>
      </c>
      <c r="I35" s="11" t="str">
        <f>VLOOKUP(C35,Hoja2!A:C,3,FALSE)</f>
        <v>1a17@asokam.mx</v>
      </c>
    </row>
    <row r="36" spans="1:9" s="11" customFormat="1" ht="12.75" customHeight="1" thickBot="1" x14ac:dyDescent="0.25">
      <c r="A36" s="13"/>
      <c r="B36" s="3">
        <f t="shared" si="0"/>
        <v>34</v>
      </c>
      <c r="C36" s="5" t="s">
        <v>49</v>
      </c>
      <c r="D36" s="15">
        <v>139</v>
      </c>
      <c r="E36" s="18"/>
      <c r="G36" s="30">
        <f>D36-E36</f>
        <v>139</v>
      </c>
      <c r="H36" s="11">
        <f>VLOOKUP(C36,Hoja2!A:B,2,FALSE)</f>
        <v>1422148</v>
      </c>
      <c r="I36" s="11" t="str">
        <f>VLOOKUP(C36,Hoja2!A:C,3,FALSE)</f>
        <v>5@grupolefarma.com.mx</v>
      </c>
    </row>
    <row r="37" spans="1:9" s="11" customFormat="1" ht="12.75" customHeight="1" thickBot="1" x14ac:dyDescent="0.25">
      <c r="A37" s="13"/>
      <c r="B37" s="3">
        <f t="shared" si="0"/>
        <v>35</v>
      </c>
      <c r="C37" s="4" t="s">
        <v>175</v>
      </c>
      <c r="D37" s="15">
        <v>-1</v>
      </c>
      <c r="E37" s="18"/>
      <c r="G37" s="30">
        <f>D37-E37</f>
        <v>-1</v>
      </c>
      <c r="H37" s="11">
        <f>VLOOKUP(C37,Hoja2!A:B,2,FALSE)</f>
        <v>1418544</v>
      </c>
      <c r="I37" s="11" t="str">
        <f>VLOOKUP(C37,Hoja2!A:C,3,FALSE)</f>
        <v>1a904@asokam.mx</v>
      </c>
    </row>
    <row r="38" spans="1:9" s="11" customFormat="1" ht="12.75" customHeight="1" thickBot="1" x14ac:dyDescent="0.25">
      <c r="A38" s="13"/>
      <c r="B38" s="3">
        <f t="shared" si="0"/>
        <v>36</v>
      </c>
      <c r="C38" s="4" t="s">
        <v>50</v>
      </c>
      <c r="D38" s="15">
        <v>8</v>
      </c>
      <c r="E38" s="18"/>
      <c r="G38" s="30">
        <f>D38-E38</f>
        <v>8</v>
      </c>
      <c r="H38" s="11">
        <f>VLOOKUP(C38,Hoja2!A:B,2,FALSE)</f>
        <v>1528220</v>
      </c>
      <c r="I38" s="11" t="str">
        <f>VLOOKUP(C38,Hoja2!A:C,3,FALSE)</f>
        <v>2g901@lefarma.com.mx</v>
      </c>
    </row>
    <row r="39" spans="1:9" s="11" customFormat="1" ht="12.75" customHeight="1" thickBot="1" x14ac:dyDescent="0.25">
      <c r="A39" s="13"/>
      <c r="B39" s="3">
        <f t="shared" si="0"/>
        <v>37</v>
      </c>
      <c r="C39" s="4" t="s">
        <v>104</v>
      </c>
      <c r="D39" s="15">
        <v>-4</v>
      </c>
      <c r="E39" s="18"/>
      <c r="G39" s="30">
        <f>D39-E39</f>
        <v>-4</v>
      </c>
      <c r="H39" s="11">
        <f>VLOOKUP(C39,Hoja2!A:B,2,FALSE)</f>
        <v>1528247</v>
      </c>
      <c r="I39" s="11" t="str">
        <f>VLOOKUP(C39,Hoja2!A:C,3,FALSE)</f>
        <v>1a11@asokam.mx</v>
      </c>
    </row>
    <row r="40" spans="1:9" s="11" customFormat="1" ht="12.75" customHeight="1" thickBot="1" x14ac:dyDescent="0.25">
      <c r="A40" s="13"/>
      <c r="B40" s="3">
        <f t="shared" si="0"/>
        <v>38</v>
      </c>
      <c r="C40" s="4" t="s">
        <v>155</v>
      </c>
      <c r="D40" s="15">
        <v>2</v>
      </c>
      <c r="E40" s="18">
        <v>1</v>
      </c>
      <c r="G40" s="30">
        <f>D40-E40</f>
        <v>1</v>
      </c>
      <c r="H40" s="11">
        <f>VLOOKUP(C40,Hoja2!A:B,2,FALSE)</f>
        <v>1429483</v>
      </c>
      <c r="I40" s="11" t="str">
        <f>VLOOKUP(C40,Hoja2!A:C,3,FALSE)</f>
        <v>19@grupolefarma.com.mx</v>
      </c>
    </row>
    <row r="41" spans="1:9" s="11" customFormat="1" ht="12.75" customHeight="1" thickBot="1" x14ac:dyDescent="0.25">
      <c r="A41" s="13"/>
      <c r="B41" s="3">
        <f t="shared" si="0"/>
        <v>39</v>
      </c>
      <c r="C41" s="4" t="s">
        <v>174</v>
      </c>
      <c r="D41" s="15">
        <v>0</v>
      </c>
      <c r="E41" s="18"/>
      <c r="G41" s="30">
        <f>D41-E41</f>
        <v>0</v>
      </c>
      <c r="H41" s="11">
        <f>VLOOKUP(C41,Hoja2!A:B,2,FALSE)</f>
        <v>1526537</v>
      </c>
      <c r="I41" s="11" t="str">
        <f>VLOOKUP(C41,Hoja2!A:C,3,FALSE)</f>
        <v>2g11@lefarma.com.mx</v>
      </c>
    </row>
    <row r="42" spans="1:9" s="11" customFormat="1" ht="12.75" customHeight="1" thickBot="1" x14ac:dyDescent="0.25">
      <c r="A42" s="13"/>
      <c r="B42" s="3">
        <f t="shared" si="0"/>
        <v>40</v>
      </c>
      <c r="C42" s="4" t="s">
        <v>54</v>
      </c>
      <c r="D42" s="15">
        <v>89</v>
      </c>
      <c r="E42" s="18"/>
      <c r="G42" s="30">
        <f>D42-E42</f>
        <v>89</v>
      </c>
      <c r="H42" s="11">
        <f>VLOOKUP(C42,Hoja2!A:B,2,FALSE)</f>
        <v>1123185</v>
      </c>
      <c r="I42" s="11" t="str">
        <f>VLOOKUP(C42,Hoja2!A:C,3,FALSE)</f>
        <v>1cm13@construmedika.com</v>
      </c>
    </row>
    <row r="43" spans="1:9" s="11" customFormat="1" ht="12.75" customHeight="1" thickBot="1" x14ac:dyDescent="0.25">
      <c r="A43" s="13"/>
      <c r="B43" s="3">
        <f t="shared" si="0"/>
        <v>41</v>
      </c>
      <c r="C43" s="4" t="s">
        <v>173</v>
      </c>
      <c r="D43" s="15">
        <v>-2</v>
      </c>
      <c r="E43" s="18"/>
      <c r="G43" s="30">
        <f>D43-E43</f>
        <v>-2</v>
      </c>
      <c r="H43" s="11">
        <f>VLOOKUP(C43,Hoja2!A:B,2,FALSE)</f>
        <v>1418532</v>
      </c>
      <c r="I43" s="11" t="str">
        <f>VLOOKUP(C43,Hoja2!A:C,3,FALSE)</f>
        <v>1a903@asokam.mx</v>
      </c>
    </row>
    <row r="44" spans="1:9" s="11" customFormat="1" ht="12.75" customHeight="1" thickBot="1" x14ac:dyDescent="0.25">
      <c r="A44" s="13"/>
      <c r="B44" s="3">
        <f t="shared" si="0"/>
        <v>42</v>
      </c>
      <c r="C44" s="4" t="s">
        <v>55</v>
      </c>
      <c r="D44" s="15">
        <v>6</v>
      </c>
      <c r="E44" s="18">
        <v>4</v>
      </c>
      <c r="G44" s="30">
        <f>D44-E44</f>
        <v>2</v>
      </c>
      <c r="H44" s="11">
        <f>VLOOKUP(C44,Hoja2!A:B,2,FALSE)</f>
        <v>1422153</v>
      </c>
      <c r="I44" s="11" t="str">
        <f>VLOOKUP(C44,Hoja2!A:C,3,FALSE)</f>
        <v>1a42@asokam.mx</v>
      </c>
    </row>
    <row r="45" spans="1:9" s="11" customFormat="1" ht="12.75" customHeight="1" thickBot="1" x14ac:dyDescent="0.25">
      <c r="A45" s="13"/>
      <c r="B45" s="3">
        <f t="shared" si="0"/>
        <v>43</v>
      </c>
      <c r="C45" s="4" t="s">
        <v>171</v>
      </c>
      <c r="D45" s="15">
        <v>-2</v>
      </c>
      <c r="E45" s="18"/>
      <c r="G45" s="30">
        <f>D45-E45</f>
        <v>-2</v>
      </c>
      <c r="H45" s="11">
        <f>VLOOKUP(C45,Hoja2!A:B,2,FALSE)</f>
        <v>1427524</v>
      </c>
      <c r="I45" s="11" t="str">
        <f>VLOOKUP(C45,Hoja2!A:C,3,FALSE)</f>
        <v>50@grupolefarma.com.mx</v>
      </c>
    </row>
    <row r="46" spans="1:9" s="11" customFormat="1" ht="12.75" customHeight="1" thickBot="1" x14ac:dyDescent="0.25">
      <c r="A46" s="13"/>
      <c r="B46" s="3">
        <f t="shared" si="0"/>
        <v>44</v>
      </c>
      <c r="C46" s="4" t="s">
        <v>145</v>
      </c>
      <c r="D46" s="15">
        <v>4</v>
      </c>
      <c r="E46" s="18">
        <v>2</v>
      </c>
      <c r="G46" s="30">
        <f>D46-E46</f>
        <v>2</v>
      </c>
      <c r="H46" s="11">
        <f>VLOOKUP(C46,Hoja2!A:B,2,FALSE)</f>
        <v>1416463</v>
      </c>
      <c r="I46" s="11" t="str">
        <f>VLOOKUP(C46,Hoja2!A:C,3,FALSE)</f>
        <v>1a48@asokam.mx</v>
      </c>
    </row>
    <row r="47" spans="1:9" s="11" customFormat="1" ht="12.75" customHeight="1" thickBot="1" x14ac:dyDescent="0.25">
      <c r="A47" s="13"/>
      <c r="B47" s="3">
        <f t="shared" si="0"/>
        <v>45</v>
      </c>
      <c r="C47" s="4" t="s">
        <v>149</v>
      </c>
      <c r="D47" s="15">
        <v>0</v>
      </c>
      <c r="E47" s="18"/>
      <c r="G47" s="30">
        <f>D47-E47</f>
        <v>0</v>
      </c>
      <c r="H47" s="11">
        <f>VLOOKUP(C47,Hoja2!A:B,2,FALSE)</f>
        <v>1420472</v>
      </c>
      <c r="I47" s="11" t="str">
        <f>VLOOKUP(C47,Hoja2!A:C,3,FALSE)</f>
        <v>1a22@asokam.mx</v>
      </c>
    </row>
    <row r="48" spans="1:9" s="11" customFormat="1" ht="12.75" customHeight="1" thickBot="1" x14ac:dyDescent="0.25">
      <c r="A48" s="13"/>
      <c r="B48" s="3">
        <f t="shared" si="0"/>
        <v>46</v>
      </c>
      <c r="C48" s="4" t="s">
        <v>112</v>
      </c>
      <c r="D48" s="15">
        <v>3</v>
      </c>
      <c r="E48" s="18">
        <v>1</v>
      </c>
      <c r="G48" s="30">
        <f>D48-E48</f>
        <v>2</v>
      </c>
      <c r="H48" s="11">
        <f>VLOOKUP(C48,Hoja2!A:B,2,FALSE)</f>
        <v>1428295</v>
      </c>
      <c r="I48" s="11" t="str">
        <f>VLOOKUP(C48,Hoja2!A:C,3,FALSE)</f>
        <v>1a10@asokam.mx</v>
      </c>
    </row>
    <row r="49" spans="1:11" s="11" customFormat="1" ht="12.75" customHeight="1" thickBot="1" x14ac:dyDescent="0.25">
      <c r="A49" s="13"/>
      <c r="B49" s="3">
        <f>+B48+1</f>
        <v>47</v>
      </c>
      <c r="C49" s="4" t="s">
        <v>168</v>
      </c>
      <c r="D49" s="15">
        <v>-10</v>
      </c>
      <c r="E49" s="18"/>
      <c r="G49" s="30">
        <f>D49-E49</f>
        <v>-10</v>
      </c>
      <c r="H49" s="11">
        <f>VLOOKUP(C49,Hoja2!A:B,2,FALSE)</f>
        <v>1528511</v>
      </c>
      <c r="I49" s="11" t="str">
        <f>VLOOKUP(C49,Hoja2!A:C,3,FALSE)</f>
        <v>44@grupolefarma.com.mx</v>
      </c>
    </row>
    <row r="50" spans="1:11" s="11" customFormat="1" ht="12.75" customHeight="1" thickBot="1" x14ac:dyDescent="0.25">
      <c r="A50" s="13"/>
      <c r="B50" s="3">
        <f t="shared" si="0"/>
        <v>48</v>
      </c>
      <c r="C50" s="4" t="s">
        <v>116</v>
      </c>
      <c r="D50" s="15">
        <v>4</v>
      </c>
      <c r="E50" s="18"/>
      <c r="G50" s="30">
        <f>D50-E50</f>
        <v>4</v>
      </c>
      <c r="H50" s="11">
        <f>VLOOKUP(C50,Hoja2!A:B,2,FALSE)</f>
        <v>1417306</v>
      </c>
      <c r="I50" s="11" t="str">
        <f>VLOOKUP(C50,Hoja2!A:C,3,FALSE)</f>
        <v>1a19@asokam.mx</v>
      </c>
    </row>
    <row r="51" spans="1:11" s="11" customFormat="1" ht="12.75" customHeight="1" thickBot="1" x14ac:dyDescent="0.25">
      <c r="A51" s="13"/>
      <c r="B51" s="3">
        <f t="shared" si="0"/>
        <v>49</v>
      </c>
      <c r="C51" s="4" t="s">
        <v>154</v>
      </c>
      <c r="D51" s="15">
        <v>-4</v>
      </c>
      <c r="E51" s="18">
        <v>7</v>
      </c>
      <c r="G51" s="30">
        <f>D51-E51</f>
        <v>-11</v>
      </c>
      <c r="H51" s="11">
        <f>VLOOKUP(C51,Hoja2!A:B,2,FALSE)</f>
        <v>1417479</v>
      </c>
      <c r="I51" s="11" t="str">
        <f>VLOOKUP(C51,Hoja2!A:C,3,FALSE)</f>
        <v>1a27@asokam.mx</v>
      </c>
    </row>
    <row r="52" spans="1:11" s="11" customFormat="1" ht="12.75" customHeight="1" thickBot="1" x14ac:dyDescent="0.25">
      <c r="A52" s="13"/>
      <c r="B52" s="3">
        <f t="shared" si="0"/>
        <v>50</v>
      </c>
      <c r="C52" s="4" t="s">
        <v>75</v>
      </c>
      <c r="D52" s="15">
        <v>14</v>
      </c>
      <c r="E52" s="18"/>
      <c r="G52" s="30">
        <f>D52-E52</f>
        <v>14</v>
      </c>
      <c r="H52" s="11">
        <f>VLOOKUP(C52,Hoja2!A:B,2,FALSE)</f>
        <v>1422149</v>
      </c>
      <c r="I52" s="11" t="str">
        <f>VLOOKUP(C52,Hoja2!A:C,3,FALSE)</f>
        <v>1a1@asokam.mx</v>
      </c>
    </row>
    <row r="53" spans="1:11" s="11" customFormat="1" ht="12.75" customHeight="1" thickBot="1" x14ac:dyDescent="0.25">
      <c r="A53" s="13"/>
      <c r="B53" s="3">
        <f t="shared" si="0"/>
        <v>51</v>
      </c>
      <c r="C53" s="4" t="s">
        <v>76</v>
      </c>
      <c r="D53" s="15">
        <v>-5</v>
      </c>
      <c r="E53" s="18">
        <v>4</v>
      </c>
      <c r="G53" s="30">
        <f>D53-E53</f>
        <v>-9</v>
      </c>
      <c r="H53" s="11">
        <f>VLOOKUP(C53,Hoja2!A:B,2,FALSE)</f>
        <v>1421167</v>
      </c>
      <c r="I53" s="11" t="str">
        <f>VLOOKUP(C53,Hoja2!A:C,3,FALSE)</f>
        <v>1a18@asokam.mx</v>
      </c>
    </row>
    <row r="54" spans="1:11" s="11" customFormat="1" ht="12.75" customHeight="1" thickBot="1" x14ac:dyDescent="0.25">
      <c r="A54" s="13"/>
      <c r="B54" s="3">
        <f t="shared" si="0"/>
        <v>52</v>
      </c>
      <c r="C54" s="4" t="s">
        <v>146</v>
      </c>
      <c r="D54" s="15">
        <v>-2</v>
      </c>
      <c r="E54" s="18"/>
      <c r="G54" s="30">
        <f>D54-E54</f>
        <v>-2</v>
      </c>
      <c r="H54" s="11">
        <f>VLOOKUP(C54,Hoja2!A:B,2,FALSE)</f>
        <v>1528516</v>
      </c>
      <c r="I54" s="11" t="str">
        <f>VLOOKUP(C54,Hoja2!A:C,3,FALSE)</f>
        <v>45@grupolefarma.com.mx</v>
      </c>
    </row>
    <row r="55" spans="1:11" s="11" customFormat="1" ht="12.75" customHeight="1" thickBot="1" x14ac:dyDescent="0.25">
      <c r="A55" s="13"/>
      <c r="B55" s="3">
        <f t="shared" si="0"/>
        <v>53</v>
      </c>
      <c r="C55" s="4" t="s">
        <v>113</v>
      </c>
      <c r="D55" s="15">
        <v>10</v>
      </c>
      <c r="E55" s="18">
        <v>2</v>
      </c>
      <c r="G55" s="30">
        <f>D55-E55</f>
        <v>8</v>
      </c>
      <c r="H55" s="11">
        <f>VLOOKUP(C55,Hoja2!A:B,2,FALSE)</f>
        <v>1414298</v>
      </c>
      <c r="I55" s="11" t="str">
        <f>VLOOKUP(C55,Hoja2!A:C,3,FALSE)</f>
        <v>1a40@asokam.mx</v>
      </c>
    </row>
    <row r="56" spans="1:11" s="11" customFormat="1" ht="12.75" customHeight="1" thickBot="1" x14ac:dyDescent="0.25">
      <c r="A56" s="13"/>
      <c r="B56" s="3">
        <f t="shared" si="0"/>
        <v>54</v>
      </c>
      <c r="C56" s="4" t="s">
        <v>88</v>
      </c>
      <c r="D56" s="15">
        <v>14</v>
      </c>
      <c r="E56" s="18"/>
      <c r="G56" s="30">
        <f>D56-E56</f>
        <v>14</v>
      </c>
      <c r="H56" s="11">
        <f>VLOOKUP(C56,Hoja2!A:B,2,FALSE)</f>
        <v>1428179</v>
      </c>
      <c r="I56" s="11" t="str">
        <f>VLOOKUP(C56,Hoja2!A:C,3,FALSE)</f>
        <v>1a900@asokam.mx</v>
      </c>
    </row>
    <row r="57" spans="1:11" s="11" customFormat="1" ht="12.75" customHeight="1" thickBot="1" x14ac:dyDescent="0.25">
      <c r="A57" s="13"/>
      <c r="B57" s="3">
        <f t="shared" si="0"/>
        <v>55</v>
      </c>
      <c r="C57" s="5" t="s">
        <v>92</v>
      </c>
      <c r="D57" s="15">
        <v>50</v>
      </c>
      <c r="E57" s="18">
        <v>1</v>
      </c>
      <c r="G57" s="30">
        <f>D57-E57</f>
        <v>49</v>
      </c>
      <c r="H57" s="11">
        <f>VLOOKUP(C57,Hoja2!A:B,2,FALSE)</f>
        <v>1422180</v>
      </c>
      <c r="I57" s="11" t="str">
        <f>VLOOKUP(C57,Hoja2!A:C,3,FALSE)</f>
        <v>33@grupolefarma.com.mx</v>
      </c>
    </row>
    <row r="58" spans="1:11" s="11" customFormat="1" ht="12.75" customHeight="1" thickBot="1" x14ac:dyDescent="0.25">
      <c r="A58" s="13"/>
      <c r="B58" s="3">
        <f t="shared" si="0"/>
        <v>56</v>
      </c>
      <c r="C58" s="5" t="s">
        <v>93</v>
      </c>
      <c r="D58" s="15">
        <v>109</v>
      </c>
      <c r="E58" s="18"/>
      <c r="G58" s="30">
        <f>D58-E58</f>
        <v>109</v>
      </c>
      <c r="H58" s="11">
        <f>VLOOKUP(C58,Hoja2!A:B,2,FALSE)</f>
        <v>1526222</v>
      </c>
      <c r="I58" s="11" t="str">
        <f>VLOOKUP(C58,Hoja2!A:C,3,FALSE)</f>
        <v>2g2@lefarma.com.mx</v>
      </c>
    </row>
    <row r="59" spans="1:11" s="11" customFormat="1" ht="12.75" customHeight="1" thickBot="1" x14ac:dyDescent="0.25">
      <c r="A59" s="13"/>
      <c r="B59" s="3">
        <f t="shared" si="0"/>
        <v>57</v>
      </c>
      <c r="C59" s="4" t="s">
        <v>141</v>
      </c>
      <c r="D59" s="15">
        <v>1</v>
      </c>
      <c r="E59" s="18">
        <v>3</v>
      </c>
      <c r="G59" s="30">
        <f>D59-E59</f>
        <v>-2</v>
      </c>
      <c r="H59" s="11">
        <f>VLOOKUP(C59,Hoja2!A:B,2,FALSE)</f>
        <v>1114446</v>
      </c>
      <c r="I59" s="11" t="str">
        <f>VLOOKUP(C59,Hoja2!A:C,3,FALSE)</f>
        <v>1a33@asokam.mx</v>
      </c>
    </row>
    <row r="60" spans="1:11" s="11" customFormat="1" ht="12.75" customHeight="1" thickBot="1" x14ac:dyDescent="0.25">
      <c r="A60" s="13"/>
      <c r="B60" s="3">
        <f t="shared" si="0"/>
        <v>58</v>
      </c>
      <c r="C60" s="5" t="s">
        <v>94</v>
      </c>
      <c r="D60" s="15">
        <v>53</v>
      </c>
      <c r="E60" s="18">
        <v>1</v>
      </c>
      <c r="G60" s="30">
        <f>D60-E60</f>
        <v>52</v>
      </c>
      <c r="H60" s="11">
        <f>VLOOKUP(C60,Hoja2!A:B,2,FALSE)</f>
        <v>1419172</v>
      </c>
      <c r="I60" s="11" t="str">
        <f>VLOOKUP(C60,Hoja2!A:C,3,FALSE)</f>
        <v>1a129@asokam.mx</v>
      </c>
    </row>
    <row r="61" spans="1:11" s="11" customFormat="1" ht="12.75" customHeight="1" thickBot="1" x14ac:dyDescent="0.25">
      <c r="A61" s="13"/>
      <c r="B61" s="3">
        <f t="shared" si="0"/>
        <v>59</v>
      </c>
      <c r="C61" s="4" t="s">
        <v>120</v>
      </c>
      <c r="D61" s="15">
        <v>10</v>
      </c>
      <c r="E61" s="18"/>
      <c r="G61" s="30">
        <f>D61-E61</f>
        <v>10</v>
      </c>
      <c r="H61" s="11">
        <f>VLOOKUP(C61,Hoja2!A:B,2,FALSE)</f>
        <v>1528340</v>
      </c>
      <c r="I61" s="11" t="str">
        <f>VLOOKUP(C61,Hoja2!A:C,3,FALSE)</f>
        <v>1a9@asokam.mx</v>
      </c>
    </row>
    <row r="62" spans="1:11" s="11" customFormat="1" ht="12.75" customHeight="1" thickBot="1" x14ac:dyDescent="0.25">
      <c r="A62" s="13"/>
      <c r="B62" s="3">
        <f t="shared" si="0"/>
        <v>60</v>
      </c>
      <c r="C62" s="4" t="s">
        <v>159</v>
      </c>
      <c r="D62" s="15">
        <v>-10</v>
      </c>
      <c r="E62" s="18"/>
      <c r="G62" s="30">
        <f>D62-E62</f>
        <v>-10</v>
      </c>
      <c r="H62" s="11">
        <f>VLOOKUP(C62,Hoja2!A:B,2,FALSE)</f>
        <v>1528494</v>
      </c>
      <c r="I62" s="11" t="str">
        <f>VLOOKUP(C62,Hoja2!A:C,3,FALSE)</f>
        <v>41@grupolefarma.com.mx</v>
      </c>
    </row>
    <row r="63" spans="1:11" s="11" customFormat="1" ht="12.75" customHeight="1" thickBot="1" x14ac:dyDescent="0.25">
      <c r="A63" s="13"/>
      <c r="B63" s="3">
        <f t="shared" si="0"/>
        <v>61</v>
      </c>
      <c r="C63" s="4" t="s">
        <v>326</v>
      </c>
      <c r="D63" s="15">
        <v>22</v>
      </c>
      <c r="E63" s="18">
        <v>2</v>
      </c>
      <c r="G63" s="30">
        <f>D63-E63</f>
        <v>20</v>
      </c>
      <c r="H63" s="11">
        <f>VLOOKUP(C63,Hoja2!A:B,2,FALSE)</f>
        <v>1421162</v>
      </c>
      <c r="I63" s="11" t="str">
        <f>VLOOKUP(C63,Hoja2!A:C,3,FALSE)</f>
        <v>1a15@asokam.mx</v>
      </c>
      <c r="K63" s="4" t="s">
        <v>100</v>
      </c>
    </row>
    <row r="64" spans="1:11" s="11" customFormat="1" ht="12.75" customHeight="1" thickBot="1" x14ac:dyDescent="0.25">
      <c r="A64" s="13"/>
      <c r="B64" s="3">
        <f t="shared" si="0"/>
        <v>62</v>
      </c>
      <c r="C64" s="4" t="s">
        <v>101</v>
      </c>
      <c r="D64" s="15">
        <v>19</v>
      </c>
      <c r="E64" s="18"/>
      <c r="G64" s="30">
        <f>D64-E64</f>
        <v>19</v>
      </c>
      <c r="H64" s="11">
        <f>VLOOKUP(C64,Hoja2!A:B,2,FALSE)</f>
        <v>1420159</v>
      </c>
      <c r="I64" s="11" t="str">
        <f>VLOOKUP(C64,Hoja2!A:C,3,FALSE)</f>
        <v>1a21@asokam.mx</v>
      </c>
      <c r="K64" s="4"/>
    </row>
    <row r="65" spans="1:11" s="11" customFormat="1" ht="12.75" customHeight="1" thickBot="1" x14ac:dyDescent="0.25">
      <c r="A65" s="13"/>
      <c r="B65" s="3">
        <f>+B64+1</f>
        <v>63</v>
      </c>
      <c r="C65" s="4" t="s">
        <v>103</v>
      </c>
      <c r="D65" s="15">
        <v>-10</v>
      </c>
      <c r="E65" s="18">
        <v>3</v>
      </c>
      <c r="G65" s="30">
        <f>D65-E65</f>
        <v>-13</v>
      </c>
      <c r="H65" s="11">
        <f>VLOOKUP(C65,Hoja2!A:B,2,FALSE)</f>
        <v>1418177</v>
      </c>
      <c r="I65" s="11" t="str">
        <f>VLOOKUP(C65,Hoja2!A:C,3,FALSE)</f>
        <v>1a25@asokam.mx</v>
      </c>
    </row>
    <row r="66" spans="1:11" s="11" customFormat="1" ht="12.75" customHeight="1" thickBot="1" x14ac:dyDescent="0.25">
      <c r="A66" s="13"/>
      <c r="B66" s="3" t="e">
        <f>+#REF!+1</f>
        <v>#REF!</v>
      </c>
      <c r="C66" s="4" t="s">
        <v>182</v>
      </c>
      <c r="D66" s="16">
        <v>-3</v>
      </c>
      <c r="E66" s="18"/>
      <c r="G66" s="30">
        <f>D66-E66</f>
        <v>-3</v>
      </c>
      <c r="H66" s="11">
        <f>VLOOKUP(C66,Hoja2!A:B,2,FALSE)</f>
        <v>1013525</v>
      </c>
      <c r="I66" s="11" t="str">
        <f>VLOOKUP(C66,Hoja2!A:C,3,FALSE)</f>
        <v>cat3@artricenter.com.mx</v>
      </c>
    </row>
    <row r="67" spans="1:11" s="11" customFormat="1" ht="12.75" customHeight="1" thickBot="1" x14ac:dyDescent="0.25">
      <c r="A67" s="13"/>
      <c r="B67" s="3" t="e">
        <f>+B66+1</f>
        <v>#REF!</v>
      </c>
      <c r="C67" s="4" t="s">
        <v>4</v>
      </c>
      <c r="D67" s="16">
        <v>11</v>
      </c>
      <c r="E67" s="18"/>
      <c r="G67" s="30">
        <f>D67-E67</f>
        <v>11</v>
      </c>
      <c r="H67" s="11">
        <f>VLOOKUP(C67,Hoja2!A:B,2,FALSE)</f>
        <v>1631236</v>
      </c>
      <c r="I67" s="11" t="str">
        <f>VLOOKUP(C67,Hoja2!A:C,3,FALSE)</f>
        <v>42@grupolefarma.com.mx</v>
      </c>
    </row>
    <row r="68" spans="1:11" s="11" customFormat="1" ht="12.75" customHeight="1" thickBot="1" x14ac:dyDescent="0.25">
      <c r="A68" s="13"/>
      <c r="B68" s="3" t="e">
        <f>+B67+1</f>
        <v>#REF!</v>
      </c>
      <c r="C68" s="4" t="s">
        <v>106</v>
      </c>
      <c r="D68" s="16">
        <v>3</v>
      </c>
      <c r="E68" s="18"/>
      <c r="G68" s="30">
        <f>D68-E68</f>
        <v>3</v>
      </c>
      <c r="H68" s="11">
        <f>VLOOKUP(C68,Hoja2!A:B,2,FALSE)</f>
        <v>1430274</v>
      </c>
      <c r="I68" s="11" t="str">
        <f>VLOOKUP(C68,Hoja2!A:C,3,FALSE)</f>
        <v>10@grupolefarma.com.mx</v>
      </c>
    </row>
    <row r="69" spans="1:11" s="11" customFormat="1" ht="12.75" customHeight="1" thickBot="1" x14ac:dyDescent="0.25">
      <c r="A69" s="13"/>
      <c r="B69" s="3" t="e">
        <f t="shared" ref="B69:B132" si="1">+B68+1</f>
        <v>#REF!</v>
      </c>
      <c r="C69" s="4" t="s">
        <v>323</v>
      </c>
      <c r="D69" s="16">
        <v>46</v>
      </c>
      <c r="E69" s="18"/>
      <c r="G69" s="30">
        <f>D69-E69</f>
        <v>46</v>
      </c>
      <c r="H69" s="11">
        <f>VLOOKUP(C69,Hoja2!A:B,2,FALSE)</f>
        <v>1213020</v>
      </c>
      <c r="I69" s="11" t="str">
        <f>VLOOKUP(C69,Hoja2!A:C,3,FALSE)</f>
        <v>3a900@artricenter.com.mx</v>
      </c>
      <c r="K69" s="4" t="s">
        <v>5</v>
      </c>
    </row>
    <row r="70" spans="1:11" s="11" customFormat="1" ht="12.75" customHeight="1" thickBot="1" x14ac:dyDescent="0.25">
      <c r="A70" s="13"/>
      <c r="B70" s="3" t="e">
        <f t="shared" si="1"/>
        <v>#REF!</v>
      </c>
      <c r="C70" s="4" t="s">
        <v>6</v>
      </c>
      <c r="D70" s="16">
        <v>6</v>
      </c>
      <c r="E70" s="18">
        <v>1</v>
      </c>
      <c r="G70" s="30">
        <f>D70-E70</f>
        <v>5</v>
      </c>
      <c r="H70" s="11">
        <f>VLOOKUP(C70,Hoja2!A:B,2,FALSE)</f>
        <v>1211109</v>
      </c>
      <c r="I70" s="11" t="str">
        <f>VLOOKUP(C70,Hoja2!A:C,3,FALSE)</f>
        <v>3a10@artricenter.com.mx</v>
      </c>
    </row>
    <row r="71" spans="1:11" s="11" customFormat="1" ht="12.75" customHeight="1" thickBot="1" x14ac:dyDescent="0.25">
      <c r="A71" s="13"/>
      <c r="B71" s="3" t="e">
        <f t="shared" si="1"/>
        <v>#REF!</v>
      </c>
      <c r="C71" s="4" t="s">
        <v>9</v>
      </c>
      <c r="D71" s="16">
        <v>39</v>
      </c>
      <c r="E71" s="18">
        <v>1</v>
      </c>
      <c r="G71" s="30">
        <f>D71-E71</f>
        <v>38</v>
      </c>
      <c r="H71" s="11">
        <f>VLOOKUP(C71,Hoja2!A:B,2,FALSE)</f>
        <v>1013010</v>
      </c>
      <c r="I71" s="11" t="str">
        <f>VLOOKUP(C71,Hoja2!A:C,3,FALSE)</f>
        <v>1r900@artricenter.com.mx</v>
      </c>
    </row>
    <row r="72" spans="1:11" s="11" customFormat="1" ht="12.75" customHeight="1" thickBot="1" x14ac:dyDescent="0.25">
      <c r="A72" s="13"/>
      <c r="B72" s="3" t="e">
        <f t="shared" si="1"/>
        <v>#REF!</v>
      </c>
      <c r="C72" s="4" t="s">
        <v>11</v>
      </c>
      <c r="D72" s="16">
        <v>11</v>
      </c>
      <c r="E72" s="18">
        <v>4</v>
      </c>
      <c r="G72" s="30">
        <f>D72-E72</f>
        <v>7</v>
      </c>
      <c r="H72" s="11">
        <f>VLOOKUP(C72,Hoja2!A:B,2,FALSE)</f>
        <v>1313026</v>
      </c>
      <c r="I72" s="11" t="str">
        <f>VLOOKUP(C72,Hoja2!A:C,3,FALSE)</f>
        <v>4v903@artricenter.com.mx</v>
      </c>
    </row>
    <row r="73" spans="1:11" s="11" customFormat="1" ht="12.75" customHeight="1" thickBot="1" x14ac:dyDescent="0.25">
      <c r="A73" s="13"/>
      <c r="B73" s="3" t="e">
        <f t="shared" si="1"/>
        <v>#REF!</v>
      </c>
      <c r="C73" s="4" t="s">
        <v>12</v>
      </c>
      <c r="D73" s="16">
        <v>28</v>
      </c>
      <c r="E73" s="18"/>
      <c r="G73" s="30">
        <f>D73-E73</f>
        <v>28</v>
      </c>
      <c r="H73" s="11">
        <f>VLOOKUP(C73,Hoja2!A:B,2,FALSE)</f>
        <v>1629197</v>
      </c>
      <c r="I73" s="11" t="str">
        <f>VLOOKUP(C73,Hoja2!A:C,3,FALSE)</f>
        <v>21@grupolefarma.com.mx</v>
      </c>
    </row>
    <row r="74" spans="1:11" s="11" customFormat="1" ht="12.75" customHeight="1" thickBot="1" x14ac:dyDescent="0.25">
      <c r="A74" s="13"/>
      <c r="B74" s="3" t="e">
        <f t="shared" si="1"/>
        <v>#REF!</v>
      </c>
      <c r="C74" s="4" t="s">
        <v>137</v>
      </c>
      <c r="D74" s="16">
        <v>-1</v>
      </c>
      <c r="E74" s="18"/>
      <c r="G74" s="30">
        <f>D74-E74</f>
        <v>-1</v>
      </c>
      <c r="H74" s="11">
        <f>VLOOKUP(C74,Hoja2!A:B,2,FALSE)</f>
        <v>1015424</v>
      </c>
      <c r="I74" s="11" t="str">
        <f>VLOOKUP(C74,Hoja2!A:C,3,FALSE)</f>
        <v>cat11@artricenter.com.mx</v>
      </c>
    </row>
    <row r="75" spans="1:11" s="11" customFormat="1" ht="12.75" customHeight="1" thickBot="1" x14ac:dyDescent="0.25">
      <c r="A75" s="13"/>
      <c r="B75" s="3" t="e">
        <f t="shared" si="1"/>
        <v>#REF!</v>
      </c>
      <c r="C75" s="4" t="s">
        <v>157</v>
      </c>
      <c r="D75" s="16">
        <v>-9</v>
      </c>
      <c r="E75" s="18"/>
      <c r="G75" s="30">
        <f>D75-E75</f>
        <v>-9</v>
      </c>
      <c r="H75" s="11">
        <f>VLOOKUP(C75,Hoja2!A:B,2,FALSE)</f>
        <v>1530490</v>
      </c>
      <c r="I75" s="11" t="str">
        <f>VLOOKUP(C75,Hoja2!A:C,3,FALSE)</f>
        <v>14@grupolefarma.com.mx</v>
      </c>
    </row>
    <row r="76" spans="1:11" s="11" customFormat="1" ht="12.75" hidden="1" customHeight="1" thickBot="1" x14ac:dyDescent="0.25">
      <c r="A76" s="13"/>
      <c r="B76" s="3" t="e">
        <f t="shared" si="1"/>
        <v>#REF!</v>
      </c>
      <c r="C76" s="4" t="s">
        <v>191</v>
      </c>
      <c r="D76" s="16">
        <v>0</v>
      </c>
      <c r="E76" s="18"/>
      <c r="G76" s="30">
        <f>D76-E76</f>
        <v>0</v>
      </c>
      <c r="H76" s="11" t="e">
        <f>VLOOKUP(C76,Hoja2!A:B,2,FALSE)</f>
        <v>#N/A</v>
      </c>
      <c r="I76" s="11" t="e">
        <f>VLOOKUP(C76,Hoja2!A:C,3,FALSE)</f>
        <v>#N/A</v>
      </c>
      <c r="K76" s="4" t="s">
        <v>440</v>
      </c>
    </row>
    <row r="77" spans="1:11" s="11" customFormat="1" ht="12.75" customHeight="1" thickBot="1" x14ac:dyDescent="0.25">
      <c r="A77" s="13"/>
      <c r="B77" s="3" t="e">
        <f t="shared" si="1"/>
        <v>#REF!</v>
      </c>
      <c r="C77" s="4" t="s">
        <v>358</v>
      </c>
      <c r="D77" s="16">
        <v>3</v>
      </c>
      <c r="E77" s="18"/>
      <c r="G77" s="30">
        <f>D77-E77</f>
        <v>3</v>
      </c>
      <c r="H77" s="11">
        <f>VLOOKUP(C77,Hoja2!A:B,2,FALSE)</f>
        <v>1211452</v>
      </c>
      <c r="I77" s="11" t="str">
        <f>VLOOKUP(C77,Hoja2!A:C,3,FALSE)</f>
        <v>3a28@artricenter.com.mx</v>
      </c>
      <c r="K77" s="4" t="s">
        <v>143</v>
      </c>
    </row>
    <row r="78" spans="1:11" s="11" customFormat="1" ht="12.75" customHeight="1" thickBot="1" x14ac:dyDescent="0.25">
      <c r="A78" s="13"/>
      <c r="B78" s="3" t="e">
        <f t="shared" si="1"/>
        <v>#REF!</v>
      </c>
      <c r="C78" s="4" t="s">
        <v>169</v>
      </c>
      <c r="D78" s="16">
        <v>-3</v>
      </c>
      <c r="E78" s="18"/>
      <c r="G78" s="30">
        <f>D78-E78</f>
        <v>-3</v>
      </c>
      <c r="H78" s="11">
        <f>VLOOKUP(C78,Hoja2!A:B,2,FALSE)</f>
        <v>1211518</v>
      </c>
      <c r="I78" s="11" t="str">
        <f>VLOOKUP(C78,Hoja2!A:C,3,FALSE)</f>
        <v>3a25@artricenter.com.mx</v>
      </c>
    </row>
    <row r="79" spans="1:11" s="11" customFormat="1" ht="12.75" customHeight="1" thickBot="1" x14ac:dyDescent="0.25">
      <c r="A79" s="13"/>
      <c r="B79" s="3" t="e">
        <f t="shared" si="1"/>
        <v>#REF!</v>
      </c>
      <c r="C79" s="4" t="s">
        <v>202</v>
      </c>
      <c r="D79" s="16">
        <v>0</v>
      </c>
      <c r="E79" s="18"/>
      <c r="G79" s="30">
        <f>D79-E79</f>
        <v>0</v>
      </c>
      <c r="H79" s="11">
        <f>VLOOKUP(C79,Hoja2!A:B,2,FALSE)</f>
        <v>1311569</v>
      </c>
      <c r="I79" s="11" t="str">
        <f>VLOOKUP(C79,Hoja2!A:C,3,FALSE)</f>
        <v>4v15@artricenter.com.mx</v>
      </c>
    </row>
    <row r="80" spans="1:11" s="11" customFormat="1" ht="12.75" customHeight="1" thickBot="1" x14ac:dyDescent="0.25">
      <c r="A80" s="13"/>
      <c r="B80" s="3" t="e">
        <f t="shared" si="1"/>
        <v>#REF!</v>
      </c>
      <c r="C80" s="4" t="s">
        <v>17</v>
      </c>
      <c r="D80" s="16">
        <v>-5</v>
      </c>
      <c r="E80" s="18"/>
      <c r="G80" s="30">
        <f>D80-E80</f>
        <v>-5</v>
      </c>
      <c r="H80" s="11">
        <f>VLOOKUP(C80,Hoja2!A:B,2,FALSE)</f>
        <v>1631235</v>
      </c>
      <c r="I80" s="11" t="str">
        <f>VLOOKUP(C80,Hoja2!A:C,3,FALSE)</f>
        <v>24@grupolefarma.com.mx</v>
      </c>
    </row>
    <row r="81" spans="1:9" s="11" customFormat="1" ht="12.75" customHeight="1" thickBot="1" x14ac:dyDescent="0.25">
      <c r="A81" s="13"/>
      <c r="B81" s="3" t="e">
        <f t="shared" si="1"/>
        <v>#REF!</v>
      </c>
      <c r="C81" s="4" t="s">
        <v>18</v>
      </c>
      <c r="D81" s="16">
        <v>7</v>
      </c>
      <c r="E81" s="18">
        <v>1</v>
      </c>
      <c r="G81" s="30">
        <f>D81-E81</f>
        <v>6</v>
      </c>
      <c r="H81" s="11">
        <f>VLOOKUP(C81,Hoja2!A:B,2,FALSE)</f>
        <v>1212119</v>
      </c>
      <c r="I81" s="11" t="str">
        <f>VLOOKUP(C81,Hoja2!A:C,3,FALSE)</f>
        <v>3a13@artricenter.com.mx</v>
      </c>
    </row>
    <row r="82" spans="1:9" s="11" customFormat="1" ht="12.75" customHeight="1" thickBot="1" x14ac:dyDescent="0.25">
      <c r="A82" s="13"/>
      <c r="B82" s="3" t="e">
        <f t="shared" si="1"/>
        <v>#REF!</v>
      </c>
      <c r="C82" s="4" t="s">
        <v>167</v>
      </c>
      <c r="D82" s="16">
        <v>-10</v>
      </c>
      <c r="E82" s="18">
        <v>1</v>
      </c>
      <c r="G82" s="30">
        <f>D82-E82</f>
        <v>-11</v>
      </c>
      <c r="H82" s="11">
        <f>VLOOKUP(C82,Hoja2!A:B,2,FALSE)</f>
        <v>1228509</v>
      </c>
      <c r="I82" s="11" t="str">
        <f>VLOOKUP(C82,Hoja2!A:C,3,FALSE)</f>
        <v>3a20@artricenter.com.mx</v>
      </c>
    </row>
    <row r="83" spans="1:9" s="11" customFormat="1" ht="12.75" customHeight="1" thickBot="1" x14ac:dyDescent="0.25">
      <c r="A83" s="13"/>
      <c r="B83" s="3" t="e">
        <f t="shared" si="1"/>
        <v>#REF!</v>
      </c>
      <c r="C83" s="4" t="s">
        <v>20</v>
      </c>
      <c r="D83" s="16">
        <v>21</v>
      </c>
      <c r="E83" s="18"/>
      <c r="G83" s="30">
        <f>D83-E83</f>
        <v>21</v>
      </c>
      <c r="H83" s="11">
        <f>VLOOKUP(C83,Hoja2!A:B,2,FALSE)</f>
        <v>1111084</v>
      </c>
      <c r="I83" s="11" t="str">
        <f>VLOOKUP(C83,Hoja2!A:C,3,FALSE)</f>
        <v>2z11@artricenter.com.mx</v>
      </c>
    </row>
    <row r="84" spans="1:9" s="11" customFormat="1" ht="12.75" customHeight="1" thickBot="1" x14ac:dyDescent="0.25">
      <c r="A84" s="13"/>
      <c r="B84" s="3" t="e">
        <f t="shared" si="1"/>
        <v>#REF!</v>
      </c>
      <c r="C84" s="4" t="s">
        <v>21</v>
      </c>
      <c r="D84" s="16">
        <v>27</v>
      </c>
      <c r="E84" s="18">
        <v>1</v>
      </c>
      <c r="G84" s="30">
        <f>D84-E84</f>
        <v>26</v>
      </c>
      <c r="H84" s="11">
        <f>VLOOKUP(C84,Hoja2!A:B,2,FALSE)</f>
        <v>1629200</v>
      </c>
      <c r="I84" s="11" t="str">
        <f>VLOOKUP(C84,Hoja2!A:C,3,FALSE)</f>
        <v>7@grupolefarma.com.mx</v>
      </c>
    </row>
    <row r="85" spans="1:9" s="11" customFormat="1" ht="12.75" customHeight="1" thickBot="1" x14ac:dyDescent="0.25">
      <c r="A85" s="13"/>
      <c r="B85" s="3" t="e">
        <f t="shared" si="1"/>
        <v>#REF!</v>
      </c>
      <c r="C85" s="4" t="s">
        <v>22</v>
      </c>
      <c r="D85" s="16">
        <v>27</v>
      </c>
      <c r="E85" s="18"/>
      <c r="G85" s="30">
        <f>D85-E85</f>
        <v>27</v>
      </c>
      <c r="H85" s="11">
        <f>VLOOKUP(C85,Hoja2!A:B,2,FALSE)</f>
        <v>1629198</v>
      </c>
      <c r="I85" s="11" t="str">
        <f>VLOOKUP(C85,Hoja2!A:C,3,FALSE)</f>
        <v>22@grupolefarma.com.mx</v>
      </c>
    </row>
    <row r="86" spans="1:9" s="11" customFormat="1" ht="12.75" customHeight="1" thickBot="1" x14ac:dyDescent="0.25">
      <c r="A86" s="13"/>
      <c r="B86" s="3" t="e">
        <f t="shared" si="1"/>
        <v>#REF!</v>
      </c>
      <c r="C86" s="4" t="s">
        <v>23</v>
      </c>
      <c r="D86" s="16">
        <v>15</v>
      </c>
      <c r="E86" s="18">
        <v>1</v>
      </c>
      <c r="G86" s="30">
        <f>D86-E86</f>
        <v>14</v>
      </c>
      <c r="H86" s="11">
        <f>VLOOKUP(C86,Hoja2!A:B,2,FALSE)</f>
        <v>1530211</v>
      </c>
      <c r="I86" s="11" t="str">
        <f>VLOOKUP(C86,Hoja2!A:C,3,FALSE)</f>
        <v>52@grupolefarma.com.mx</v>
      </c>
    </row>
    <row r="87" spans="1:9" s="11" customFormat="1" ht="12.75" customHeight="1" thickBot="1" x14ac:dyDescent="0.25">
      <c r="A87" s="13"/>
      <c r="B87" s="3" t="e">
        <f t="shared" si="1"/>
        <v>#REF!</v>
      </c>
      <c r="C87" s="4" t="s">
        <v>144</v>
      </c>
      <c r="D87" s="16">
        <v>0</v>
      </c>
      <c r="E87" s="18"/>
      <c r="G87" s="30">
        <f>D87-E87</f>
        <v>0</v>
      </c>
      <c r="H87" s="11">
        <f>VLOOKUP(C87,Hoja2!A:B,2,FALSE)</f>
        <v>1228457</v>
      </c>
      <c r="I87" s="11" t="str">
        <f>VLOOKUP(C87,Hoja2!A:C,3,FALSE)</f>
        <v>3a904@artricenter.com.mx</v>
      </c>
    </row>
    <row r="88" spans="1:9" s="11" customFormat="1" ht="12.75" customHeight="1" thickBot="1" x14ac:dyDescent="0.25">
      <c r="A88" s="13"/>
      <c r="B88" s="3" t="e">
        <f t="shared" si="1"/>
        <v>#REF!</v>
      </c>
      <c r="C88" s="4" t="s">
        <v>24</v>
      </c>
      <c r="D88" s="16">
        <v>33</v>
      </c>
      <c r="E88" s="18">
        <v>2</v>
      </c>
      <c r="G88" s="30">
        <f>D88-E88</f>
        <v>31</v>
      </c>
      <c r="H88" s="11">
        <f>VLOOKUP(C88,Hoja2!A:B,2,FALSE)</f>
        <v>1114042</v>
      </c>
      <c r="I88" s="11" t="str">
        <f>VLOOKUP(C88,Hoja2!A:C,3,FALSE)</f>
        <v>cc23@artricenter.com.mx</v>
      </c>
    </row>
    <row r="89" spans="1:9" s="11" customFormat="1" ht="12.75" customHeight="1" thickBot="1" x14ac:dyDescent="0.25">
      <c r="A89" s="13"/>
      <c r="B89" s="3" t="e">
        <f t="shared" si="1"/>
        <v>#REF!</v>
      </c>
      <c r="C89" s="4" t="s">
        <v>25</v>
      </c>
      <c r="D89" s="16">
        <v>10</v>
      </c>
      <c r="E89" s="18"/>
      <c r="G89" s="30">
        <f>D89-E89</f>
        <v>10</v>
      </c>
      <c r="H89" s="11">
        <f>VLOOKUP(C89,Hoja2!A:B,2,FALSE)</f>
        <v>1028124</v>
      </c>
      <c r="I89" s="11" t="str">
        <f>VLOOKUP(C89,Hoja2!A:C,3,FALSE)</f>
        <v>2z28@artricenter.com.mx</v>
      </c>
    </row>
    <row r="90" spans="1:9" s="11" customFormat="1" ht="12.75" customHeight="1" thickBot="1" x14ac:dyDescent="0.25">
      <c r="A90" s="13"/>
      <c r="B90" s="3" t="e">
        <f t="shared" si="1"/>
        <v>#REF!</v>
      </c>
      <c r="C90" s="4" t="s">
        <v>142</v>
      </c>
      <c r="D90" s="16">
        <v>1</v>
      </c>
      <c r="E90" s="18"/>
      <c r="G90" s="30">
        <f>D90-E90</f>
        <v>1</v>
      </c>
      <c r="H90" s="11">
        <f>VLOOKUP(C90,Hoja2!A:B,2,FALSE)</f>
        <v>1214449</v>
      </c>
      <c r="I90" s="11" t="str">
        <f>VLOOKUP(C90,Hoja2!A:C,3,FALSE)</f>
        <v>3a22@artricenter.com.mx</v>
      </c>
    </row>
    <row r="91" spans="1:9" s="11" customFormat="1" ht="12.75" customHeight="1" thickBot="1" x14ac:dyDescent="0.25">
      <c r="A91" s="13"/>
      <c r="B91" s="3" t="e">
        <f t="shared" si="1"/>
        <v>#REF!</v>
      </c>
      <c r="C91" s="4" t="s">
        <v>163</v>
      </c>
      <c r="D91" s="16">
        <v>-9</v>
      </c>
      <c r="E91" s="18"/>
      <c r="G91" s="30">
        <f>D91-E91</f>
        <v>-9</v>
      </c>
      <c r="H91" s="11">
        <f>VLOOKUP(C91,Hoja2!A:B,2,FALSE)</f>
        <v>1011509</v>
      </c>
      <c r="I91" s="11" t="str">
        <f>VLOOKUP(C91,Hoja2!A:C,3,FALSE)</f>
        <v>1r27@artricenter.com.mx</v>
      </c>
    </row>
    <row r="92" spans="1:9" s="11" customFormat="1" ht="12.75" customHeight="1" thickBot="1" x14ac:dyDescent="0.25">
      <c r="A92" s="13"/>
      <c r="B92" s="3" t="e">
        <f t="shared" si="1"/>
        <v>#REF!</v>
      </c>
      <c r="C92" s="4" t="s">
        <v>27</v>
      </c>
      <c r="D92" s="16">
        <v>16</v>
      </c>
      <c r="E92" s="18">
        <v>4</v>
      </c>
      <c r="G92" s="30">
        <f>D92-E92</f>
        <v>12</v>
      </c>
      <c r="H92" s="11">
        <f>VLOOKUP(C92,Hoja2!A:B,2,FALSE)</f>
        <v>1123192</v>
      </c>
      <c r="I92" s="11" t="str">
        <f>VLOOKUP(C92,Hoja2!A:C,3,FALSE)</f>
        <v>1cm11@construmedika.com</v>
      </c>
    </row>
    <row r="93" spans="1:9" s="11" customFormat="1" ht="12.75" customHeight="1" thickBot="1" x14ac:dyDescent="0.25">
      <c r="A93" s="13"/>
      <c r="B93" s="3" t="e">
        <f t="shared" si="1"/>
        <v>#REF!</v>
      </c>
      <c r="C93" s="4" t="s">
        <v>200</v>
      </c>
      <c r="D93" s="16">
        <v>0</v>
      </c>
      <c r="E93" s="18"/>
      <c r="G93" s="30">
        <f>D93-E93</f>
        <v>0</v>
      </c>
      <c r="H93" s="11">
        <f>VLOOKUP(C93,Hoja2!A:B,2,FALSE)</f>
        <v>1010565</v>
      </c>
      <c r="I93" s="11" t="str">
        <f>VLOOKUP(C93,Hoja2!A:C,3,FALSE)</f>
        <v>1r11@artricenter.com.mx</v>
      </c>
    </row>
    <row r="94" spans="1:9" s="11" customFormat="1" ht="12.75" customHeight="1" thickBot="1" x14ac:dyDescent="0.25">
      <c r="A94" s="13"/>
      <c r="B94" s="3" t="e">
        <f t="shared" si="1"/>
        <v>#REF!</v>
      </c>
      <c r="C94" s="4" t="s">
        <v>164</v>
      </c>
      <c r="D94" s="16">
        <v>-9</v>
      </c>
      <c r="E94" s="18"/>
      <c r="G94" s="30">
        <f>D94-E94</f>
        <v>-9</v>
      </c>
      <c r="H94" s="11">
        <f>VLOOKUP(C94,Hoja2!A:B,2,FALSE)</f>
        <v>1210512</v>
      </c>
      <c r="I94" s="11" t="str">
        <f>VLOOKUP(C94,Hoja2!A:C,3,FALSE)</f>
        <v>3a19@artricenter.com.mx</v>
      </c>
    </row>
    <row r="95" spans="1:9" s="11" customFormat="1" ht="12.75" customHeight="1" thickBot="1" x14ac:dyDescent="0.25">
      <c r="A95" s="13"/>
      <c r="B95" s="3" t="e">
        <f t="shared" si="1"/>
        <v>#REF!</v>
      </c>
      <c r="C95" s="4" t="s">
        <v>28</v>
      </c>
      <c r="D95" s="16">
        <v>10</v>
      </c>
      <c r="E95" s="18"/>
      <c r="G95" s="30">
        <f>D95-E95</f>
        <v>10</v>
      </c>
      <c r="H95" s="11">
        <f>VLOOKUP(C95,Hoja2!A:B,2,FALSE)</f>
        <v>1328221</v>
      </c>
      <c r="I95" s="11" t="str">
        <f>VLOOKUP(C95,Hoja2!A:C,3,FALSE)</f>
        <v>4v904@artricenter.com.mx</v>
      </c>
    </row>
    <row r="96" spans="1:9" s="11" customFormat="1" ht="12.75" customHeight="1" thickBot="1" x14ac:dyDescent="0.25">
      <c r="A96" s="13"/>
      <c r="B96" s="3" t="e">
        <f t="shared" si="1"/>
        <v>#REF!</v>
      </c>
      <c r="C96" s="4" t="s">
        <v>29</v>
      </c>
      <c r="D96" s="16">
        <v>42</v>
      </c>
      <c r="E96" s="18">
        <v>2</v>
      </c>
      <c r="G96" s="30">
        <f>D96-E96</f>
        <v>40</v>
      </c>
      <c r="H96" s="11">
        <f>VLOOKUP(C96,Hoja2!A:B,2,FALSE)</f>
        <v>1111074</v>
      </c>
      <c r="I96" s="11" t="str">
        <f>VLOOKUP(C96,Hoja2!A:C,3,FALSE)</f>
        <v>2z12@artricenter.com.mx</v>
      </c>
    </row>
    <row r="97" spans="1:11" s="11" customFormat="1" ht="12.75" customHeight="1" thickBot="1" x14ac:dyDescent="0.25">
      <c r="A97" s="13"/>
      <c r="B97" s="3" t="e">
        <f t="shared" si="1"/>
        <v>#REF!</v>
      </c>
      <c r="C97" s="4" t="s">
        <v>30</v>
      </c>
      <c r="D97" s="16">
        <v>10</v>
      </c>
      <c r="E97" s="18"/>
      <c r="G97" s="30">
        <f>D97-E97</f>
        <v>10</v>
      </c>
      <c r="H97" s="11">
        <f>VLOOKUP(C97,Hoja2!A:B,2,FALSE)</f>
        <v>1123190</v>
      </c>
      <c r="I97" s="11" t="str">
        <f>VLOOKUP(C97,Hoja2!A:C,3,FALSE)</f>
        <v>1cm903@construmedika.com</v>
      </c>
    </row>
    <row r="98" spans="1:11" s="11" customFormat="1" ht="12.75" customHeight="1" thickBot="1" x14ac:dyDescent="0.25">
      <c r="A98" s="13"/>
      <c r="B98" s="3" t="e">
        <f t="shared" si="1"/>
        <v>#REF!</v>
      </c>
      <c r="C98" s="4" t="s">
        <v>31</v>
      </c>
      <c r="D98" s="16">
        <v>18</v>
      </c>
      <c r="E98" s="18">
        <v>1</v>
      </c>
      <c r="G98" s="30">
        <f>D98-E98</f>
        <v>17</v>
      </c>
      <c r="H98" s="11">
        <f>VLOOKUP(C98,Hoja2!A:B,2,FALSE)</f>
        <v>1015029</v>
      </c>
      <c r="I98" s="11" t="str">
        <f>VLOOKUP(C98,Hoja2!A:C,3,FALSE)</f>
        <v>cat2@artricenter.com.mx</v>
      </c>
    </row>
    <row r="99" spans="1:11" s="11" customFormat="1" ht="12.75" customHeight="1" thickBot="1" x14ac:dyDescent="0.25">
      <c r="A99" s="13"/>
      <c r="B99" s="3" t="e">
        <f t="shared" si="1"/>
        <v>#REF!</v>
      </c>
      <c r="C99" s="4" t="s">
        <v>118</v>
      </c>
      <c r="D99" s="16">
        <v>2</v>
      </c>
      <c r="E99" s="18"/>
      <c r="G99" s="30">
        <f>D99-E99</f>
        <v>2</v>
      </c>
      <c r="H99" s="11">
        <f>VLOOKUP(C99,Hoja2!A:B,2,FALSE)</f>
        <v>1114323</v>
      </c>
      <c r="I99" s="11" t="str">
        <f>VLOOKUP(C99,Hoja2!A:C,3,FALSE)</f>
        <v>cc27@artricenter.com.mx</v>
      </c>
    </row>
    <row r="100" spans="1:11" s="11" customFormat="1" ht="12.75" customHeight="1" thickBot="1" x14ac:dyDescent="0.25">
      <c r="A100" s="13"/>
      <c r="B100" s="3" t="e">
        <f t="shared" si="1"/>
        <v>#REF!</v>
      </c>
      <c r="C100" s="4" t="s">
        <v>33</v>
      </c>
      <c r="D100" s="16">
        <v>46</v>
      </c>
      <c r="E100" s="18"/>
      <c r="G100" s="30">
        <f>D100-E100</f>
        <v>46</v>
      </c>
      <c r="H100" s="11">
        <f>VLOOKUP(C100,Hoja2!A:B,2,FALSE)</f>
        <v>1128195</v>
      </c>
      <c r="I100" s="11" t="str">
        <f>VLOOKUP(C100,Hoja2!A:C,3,FALSE)</f>
        <v>4@grupolefarma.com.mx</v>
      </c>
    </row>
    <row r="101" spans="1:11" s="11" customFormat="1" ht="12.75" customHeight="1" thickBot="1" x14ac:dyDescent="0.25">
      <c r="A101" s="13"/>
      <c r="B101" s="3" t="e">
        <f t="shared" si="1"/>
        <v>#REF!</v>
      </c>
      <c r="C101" s="4" t="s">
        <v>127</v>
      </c>
      <c r="D101" s="16">
        <v>-3</v>
      </c>
      <c r="E101" s="18"/>
      <c r="G101" s="30">
        <f>D101-E101</f>
        <v>-3</v>
      </c>
      <c r="H101" s="11">
        <f>VLOOKUP(C101,Hoja2!A:B,2,FALSE)</f>
        <v>1211391</v>
      </c>
      <c r="I101" s="11" t="str">
        <f>VLOOKUP(C101,Hoja2!A:C,3,FALSE)</f>
        <v>3a24@artricenter.com.mx</v>
      </c>
    </row>
    <row r="102" spans="1:11" s="11" customFormat="1" ht="12.75" customHeight="1" thickBot="1" x14ac:dyDescent="0.25">
      <c r="A102" s="13"/>
      <c r="B102" s="3" t="e">
        <f t="shared" si="1"/>
        <v>#REF!</v>
      </c>
      <c r="C102" s="4" t="s">
        <v>34</v>
      </c>
      <c r="D102" s="16">
        <v>66</v>
      </c>
      <c r="E102" s="18">
        <v>1</v>
      </c>
      <c r="G102" s="30">
        <f>D102-E102</f>
        <v>65</v>
      </c>
      <c r="H102" s="11">
        <f>VLOOKUP(C102,Hoja2!A:B,2,FALSE)</f>
        <v>1211101</v>
      </c>
      <c r="I102" s="11" t="str">
        <f>VLOOKUP(C102,Hoja2!A:C,3,FALSE)</f>
        <v>r2@artricenter.com.mx</v>
      </c>
    </row>
    <row r="103" spans="1:11" s="11" customFormat="1" ht="12.75" customHeight="1" thickBot="1" x14ac:dyDescent="0.25">
      <c r="A103" s="13"/>
      <c r="B103" s="3" t="e">
        <f t="shared" si="1"/>
        <v>#REF!</v>
      </c>
      <c r="C103" s="4" t="s">
        <v>183</v>
      </c>
      <c r="D103" s="16">
        <v>-3</v>
      </c>
      <c r="E103" s="18"/>
      <c r="G103" s="30">
        <f>D103-E103</f>
        <v>-3</v>
      </c>
      <c r="H103" s="11">
        <f>VLOOKUP(C103,Hoja2!A:B,2,FALSE)</f>
        <v>1011526</v>
      </c>
      <c r="I103" s="11" t="str">
        <f>VLOOKUP(C103,Hoja2!A:C,3,FALSE)</f>
        <v>1r17@artricenter.com.mx</v>
      </c>
    </row>
    <row r="104" spans="1:11" s="11" customFormat="1" ht="12.75" hidden="1" customHeight="1" thickBot="1" x14ac:dyDescent="0.25">
      <c r="A104" s="13"/>
      <c r="B104" s="3" t="e">
        <f t="shared" si="1"/>
        <v>#REF!</v>
      </c>
      <c r="C104" s="4" t="s">
        <v>181</v>
      </c>
      <c r="D104" s="16">
        <v>0</v>
      </c>
      <c r="E104" s="18"/>
      <c r="G104" s="30">
        <f>D104-E104</f>
        <v>0</v>
      </c>
      <c r="H104" s="11" t="e">
        <f>VLOOKUP(C104,Hoja2!A:B,2,FALSE)</f>
        <v>#N/A</v>
      </c>
      <c r="I104" s="11" t="e">
        <f>VLOOKUP(C104,Hoja2!A:C,3,FALSE)</f>
        <v>#N/A</v>
      </c>
      <c r="K104" s="4" t="s">
        <v>440</v>
      </c>
    </row>
    <row r="105" spans="1:11" s="11" customFormat="1" ht="12.75" customHeight="1" thickBot="1" x14ac:dyDescent="0.25">
      <c r="A105" s="13"/>
      <c r="B105" s="3" t="e">
        <f t="shared" si="1"/>
        <v>#REF!</v>
      </c>
      <c r="C105" s="4" t="s">
        <v>36</v>
      </c>
      <c r="D105" s="16">
        <v>9</v>
      </c>
      <c r="E105" s="18">
        <v>1</v>
      </c>
      <c r="G105" s="30">
        <f>D105-E105</f>
        <v>8</v>
      </c>
      <c r="H105" s="11">
        <f>VLOOKUP(C105,Hoja2!A:B,2,FALSE)</f>
        <v>1212105</v>
      </c>
      <c r="I105" s="11" t="str">
        <f>VLOOKUP(C105,Hoja2!A:C,3,FALSE)</f>
        <v>3a16@artricenter.com.mx</v>
      </c>
    </row>
    <row r="106" spans="1:11" s="11" customFormat="1" ht="12.75" customHeight="1" thickBot="1" x14ac:dyDescent="0.25">
      <c r="A106" s="13"/>
      <c r="B106" s="3" t="e">
        <f t="shared" si="1"/>
        <v>#REF!</v>
      </c>
      <c r="C106" s="4" t="s">
        <v>377</v>
      </c>
      <c r="D106" s="16">
        <v>-9</v>
      </c>
      <c r="E106" s="18">
        <v>3</v>
      </c>
      <c r="G106" s="30">
        <f>D106-E106</f>
        <v>-12</v>
      </c>
      <c r="H106" s="11">
        <f>VLOOKUP(C106,Hoja2!A:B,2,FALSE)</f>
        <v>1015504</v>
      </c>
      <c r="I106" s="11" t="str">
        <f>VLOOKUP(C106,Hoja2!A:C,3,FALSE)</f>
        <v>cat12@artricenter.com.mx</v>
      </c>
      <c r="K106" s="4" t="s">
        <v>161</v>
      </c>
    </row>
    <row r="107" spans="1:11" s="11" customFormat="1" ht="12.75" customHeight="1" thickBot="1" x14ac:dyDescent="0.25">
      <c r="A107" s="13"/>
      <c r="B107" s="3" t="e">
        <f t="shared" si="1"/>
        <v>#REF!</v>
      </c>
      <c r="C107" s="4" t="s">
        <v>38</v>
      </c>
      <c r="D107" s="16">
        <v>0</v>
      </c>
      <c r="E107" s="18"/>
      <c r="G107" s="30">
        <f>D107-E107</f>
        <v>0</v>
      </c>
      <c r="H107" s="11">
        <f>VLOOKUP(C107,Hoja2!A:B,2,FALSE)</f>
        <v>1023243</v>
      </c>
      <c r="I107" s="11" t="str">
        <f>VLOOKUP(C107,Hoja2!A:C,3,FALSE)</f>
        <v>1r18@artricenter.com.mx</v>
      </c>
    </row>
    <row r="108" spans="1:11" s="11" customFormat="1" ht="12.75" customHeight="1" thickBot="1" x14ac:dyDescent="0.25">
      <c r="A108" s="13"/>
      <c r="B108" s="3" t="e">
        <f t="shared" si="1"/>
        <v>#REF!</v>
      </c>
      <c r="C108" s="4" t="s">
        <v>39</v>
      </c>
      <c r="D108" s="16">
        <v>47</v>
      </c>
      <c r="E108" s="18"/>
      <c r="G108" s="30">
        <f>D108-E108</f>
        <v>47</v>
      </c>
      <c r="H108" s="11">
        <f>VLOOKUP(C108,Hoja2!A:B,2,FALSE)</f>
        <v>1028071</v>
      </c>
      <c r="I108" s="11" t="str">
        <f>VLOOKUP(C108,Hoja2!A:C,3,FALSE)</f>
        <v>1r30@artricenter.com.mx</v>
      </c>
    </row>
    <row r="109" spans="1:11" s="11" customFormat="1" ht="12.75" customHeight="1" thickBot="1" x14ac:dyDescent="0.25">
      <c r="A109" s="13"/>
      <c r="B109" s="3" t="e">
        <f t="shared" si="1"/>
        <v>#REF!</v>
      </c>
      <c r="C109" s="4" t="s">
        <v>40</v>
      </c>
      <c r="D109" s="16">
        <v>1</v>
      </c>
      <c r="E109" s="18">
        <v>3</v>
      </c>
      <c r="G109" s="30">
        <f>D109-E109</f>
        <v>-2</v>
      </c>
      <c r="H109" s="11">
        <f>VLOOKUP(C109,Hoja2!A:B,2,FALSE)</f>
        <v>1015035</v>
      </c>
      <c r="I109" s="11" t="str">
        <f>VLOOKUP(C109,Hoja2!A:C,3,FALSE)</f>
        <v>cat10@artricenter.com.mx</v>
      </c>
    </row>
    <row r="110" spans="1:11" s="11" customFormat="1" ht="12.75" customHeight="1" thickBot="1" x14ac:dyDescent="0.25">
      <c r="A110" s="13"/>
      <c r="B110" s="3" t="e">
        <f t="shared" si="1"/>
        <v>#REF!</v>
      </c>
      <c r="C110" s="4" t="s">
        <v>180</v>
      </c>
      <c r="D110" s="16">
        <v>4</v>
      </c>
      <c r="E110" s="18">
        <v>2</v>
      </c>
      <c r="G110" s="30">
        <f>D110-E110</f>
        <v>2</v>
      </c>
      <c r="H110" s="11">
        <f>VLOOKUP(C110,Hoja2!A:B,2,FALSE)</f>
        <v>1013469</v>
      </c>
      <c r="I110" s="11" t="str">
        <f>VLOOKUP(C110,Hoja2!A:C,3,FALSE)</f>
        <v>cat9@artricenter.com.mx</v>
      </c>
    </row>
    <row r="111" spans="1:11" s="11" customFormat="1" ht="12.75" customHeight="1" thickBot="1" x14ac:dyDescent="0.25">
      <c r="A111" s="13"/>
      <c r="B111" s="3" t="e">
        <f t="shared" si="1"/>
        <v>#REF!</v>
      </c>
      <c r="C111" s="4" t="s">
        <v>42</v>
      </c>
      <c r="D111" s="16">
        <v>20</v>
      </c>
      <c r="E111" s="18">
        <v>4</v>
      </c>
      <c r="G111" s="30">
        <f>D111-E111</f>
        <v>16</v>
      </c>
      <c r="H111" s="11">
        <f>VLOOKUP(C111,Hoja2!A:B,2,FALSE)</f>
        <v>1114050</v>
      </c>
      <c r="I111" s="11" t="str">
        <f>VLOOKUP(C111,Hoja2!A:C,3,FALSE)</f>
        <v>cc3@artricenter.com.mx</v>
      </c>
    </row>
    <row r="112" spans="1:11" s="11" customFormat="1" ht="12.75" customHeight="1" thickBot="1" x14ac:dyDescent="0.25">
      <c r="A112" s="13"/>
      <c r="B112" s="3" t="e">
        <f t="shared" si="1"/>
        <v>#REF!</v>
      </c>
      <c r="C112" s="4" t="s">
        <v>195</v>
      </c>
      <c r="D112" s="16">
        <v>0</v>
      </c>
      <c r="E112" s="18"/>
      <c r="G112" s="30">
        <f>D112-E112</f>
        <v>0</v>
      </c>
      <c r="H112" s="11">
        <f>VLOOKUP(C112,Hoja2!A:B,2,FALSE)</f>
        <v>1310559</v>
      </c>
      <c r="I112" s="11" t="str">
        <f>VLOOKUP(C112,Hoja2!A:C,3,FALSE)</f>
        <v>2z13@artricenter.com.mx</v>
      </c>
    </row>
    <row r="113" spans="1:11" s="11" customFormat="1" ht="12.75" customHeight="1" thickBot="1" x14ac:dyDescent="0.25">
      <c r="A113" s="13"/>
      <c r="B113" s="3" t="e">
        <f t="shared" si="1"/>
        <v>#REF!</v>
      </c>
      <c r="C113" s="4" t="s">
        <v>43</v>
      </c>
      <c r="D113" s="16">
        <v>31</v>
      </c>
      <c r="E113" s="18"/>
      <c r="G113" s="30">
        <f>D113-E113</f>
        <v>31</v>
      </c>
      <c r="H113" s="11">
        <f>VLOOKUP(C113,Hoja2!A:B,2,FALSE)</f>
        <v>1211110</v>
      </c>
      <c r="I113" s="11" t="str">
        <f>VLOOKUP(C113,Hoja2!A:C,3,FALSE)</f>
        <v>3a11@artricenter.com.mx</v>
      </c>
    </row>
    <row r="114" spans="1:11" s="11" customFormat="1" ht="12.75" customHeight="1" thickBot="1" x14ac:dyDescent="0.25">
      <c r="A114" s="13"/>
      <c r="B114" s="3" t="e">
        <f t="shared" si="1"/>
        <v>#REF!</v>
      </c>
      <c r="C114" s="4" t="s">
        <v>44</v>
      </c>
      <c r="D114" s="16">
        <v>17</v>
      </c>
      <c r="E114" s="18"/>
      <c r="G114" s="30">
        <f>D114-E114</f>
        <v>17</v>
      </c>
      <c r="H114" s="11">
        <f>VLOOKUP(C114,Hoja2!A:B,2,FALSE)</f>
        <v>1313023</v>
      </c>
      <c r="I114" s="11" t="str">
        <f>VLOOKUP(C114,Hoja2!A:C,3,FALSE)</f>
        <v>4v902@artricenter.com.mx</v>
      </c>
    </row>
    <row r="115" spans="1:11" s="11" customFormat="1" ht="12.75" hidden="1" customHeight="1" thickBot="1" x14ac:dyDescent="0.25">
      <c r="A115" s="13"/>
      <c r="B115" s="3" t="e">
        <f t="shared" si="1"/>
        <v>#REF!</v>
      </c>
      <c r="C115" s="4" t="s">
        <v>199</v>
      </c>
      <c r="D115" s="16">
        <v>0</v>
      </c>
      <c r="E115" s="18"/>
      <c r="G115" s="30">
        <f>D115-E115</f>
        <v>0</v>
      </c>
      <c r="H115" s="11" t="e">
        <f>VLOOKUP(C115,Hoja2!A:B,2,FALSE)</f>
        <v>#N/A</v>
      </c>
      <c r="I115" s="11" t="e">
        <f>VLOOKUP(C115,Hoja2!A:C,3,FALSE)</f>
        <v>#N/A</v>
      </c>
      <c r="K115" s="4" t="s">
        <v>199</v>
      </c>
    </row>
    <row r="116" spans="1:11" s="11" customFormat="1" ht="12.75" customHeight="1" thickBot="1" x14ac:dyDescent="0.25">
      <c r="A116" s="13"/>
      <c r="B116" s="3" t="e">
        <f t="shared" si="1"/>
        <v>#REF!</v>
      </c>
      <c r="C116" s="4" t="s">
        <v>398</v>
      </c>
      <c r="D116" s="16">
        <v>0</v>
      </c>
      <c r="E116" s="18"/>
      <c r="G116" s="30">
        <f>D116-E116</f>
        <v>0</v>
      </c>
      <c r="H116" s="11">
        <f>VLOOKUP(C116,Hoja2!A:B,2,FALSE)</f>
        <v>1310536</v>
      </c>
      <c r="I116" s="11" t="str">
        <f>VLOOKUP(C116,Hoja2!A:C,3,FALSE)</f>
        <v>4v3@artricenter.com.mx</v>
      </c>
      <c r="K116" s="4" t="s">
        <v>187</v>
      </c>
    </row>
    <row r="117" spans="1:11" s="11" customFormat="1" ht="12.75" customHeight="1" thickBot="1" x14ac:dyDescent="0.25">
      <c r="A117" s="13"/>
      <c r="B117" s="3" t="e">
        <f t="shared" si="1"/>
        <v>#REF!</v>
      </c>
      <c r="C117" s="4" t="s">
        <v>46</v>
      </c>
      <c r="D117" s="16">
        <v>1</v>
      </c>
      <c r="E117" s="18">
        <v>1</v>
      </c>
      <c r="G117" s="30">
        <f>D117-E117</f>
        <v>0</v>
      </c>
      <c r="H117" s="11">
        <f>VLOOKUP(C117,Hoja2!A:B,2,FALSE)</f>
        <v>1012057</v>
      </c>
      <c r="I117" s="11" t="str">
        <f>VLOOKUP(C117,Hoja2!A:C,3,FALSE)</f>
        <v>1r26@artricenter.com.mx</v>
      </c>
    </row>
    <row r="118" spans="1:11" s="11" customFormat="1" ht="12.75" customHeight="1" thickBot="1" x14ac:dyDescent="0.25">
      <c r="A118" s="13"/>
      <c r="B118" s="3" t="e">
        <f t="shared" si="1"/>
        <v>#REF!</v>
      </c>
      <c r="C118" s="4" t="s">
        <v>47</v>
      </c>
      <c r="D118" s="16">
        <v>57</v>
      </c>
      <c r="E118" s="18">
        <v>3</v>
      </c>
      <c r="G118" s="30">
        <f>D118-E118</f>
        <v>54</v>
      </c>
      <c r="H118" s="11">
        <f>VLOOKUP(C118,Hoja2!A:B,2,FALSE)</f>
        <v>1028122</v>
      </c>
      <c r="I118" s="11" t="str">
        <f>VLOOKUP(C118,Hoja2!A:C,3,FALSE)</f>
        <v>1r21@artricenter.com.mx</v>
      </c>
    </row>
    <row r="119" spans="1:11" s="11" customFormat="1" ht="12.75" hidden="1" customHeight="1" thickBot="1" x14ac:dyDescent="0.25">
      <c r="A119" s="13"/>
      <c r="B119" s="3" t="e">
        <f t="shared" si="1"/>
        <v>#REF!</v>
      </c>
      <c r="C119" s="4" t="s">
        <v>188</v>
      </c>
      <c r="D119" s="16">
        <v>0</v>
      </c>
      <c r="E119" s="18"/>
      <c r="G119" s="30">
        <f>D119-E119</f>
        <v>0</v>
      </c>
      <c r="H119" s="11" t="e">
        <f>VLOOKUP(C119,Hoja2!A:B,2,FALSE)</f>
        <v>#N/A</v>
      </c>
      <c r="I119" s="11" t="e">
        <f>VLOOKUP(C119,Hoja2!A:C,3,FALSE)</f>
        <v>#N/A</v>
      </c>
      <c r="K119" s="4" t="s">
        <v>440</v>
      </c>
    </row>
    <row r="120" spans="1:11" s="11" customFormat="1" ht="12.75" customHeight="1" thickBot="1" x14ac:dyDescent="0.25">
      <c r="A120" s="13"/>
      <c r="B120" s="3" t="e">
        <f t="shared" si="1"/>
        <v>#REF!</v>
      </c>
      <c r="C120" s="4" t="s">
        <v>48</v>
      </c>
      <c r="D120" s="16">
        <v>7</v>
      </c>
      <c r="E120" s="18">
        <v>2</v>
      </c>
      <c r="G120" s="30">
        <f>D120-E120</f>
        <v>5</v>
      </c>
      <c r="H120" s="11">
        <f>VLOOKUP(C120,Hoja2!A:B,2,FALSE)</f>
        <v>1228126</v>
      </c>
      <c r="I120" s="11" t="str">
        <f>VLOOKUP(C120,Hoja2!A:C,3,FALSE)</f>
        <v>3a903@artricenter.com.mx</v>
      </c>
    </row>
    <row r="121" spans="1:11" s="11" customFormat="1" ht="12.75" customHeight="1" thickBot="1" x14ac:dyDescent="0.25">
      <c r="A121" s="13"/>
      <c r="B121" s="3" t="e">
        <f t="shared" si="1"/>
        <v>#REF!</v>
      </c>
      <c r="C121" s="4" t="s">
        <v>165</v>
      </c>
      <c r="D121" s="16">
        <v>-11</v>
      </c>
      <c r="E121" s="18"/>
      <c r="G121" s="30">
        <f>D121-E121</f>
        <v>-11</v>
      </c>
      <c r="H121" s="11">
        <f>VLOOKUP(C121,Hoja2!A:B,2,FALSE)</f>
        <v>1310511</v>
      </c>
      <c r="I121" s="11" t="str">
        <f>VLOOKUP(C121,Hoja2!A:C,3,FALSE)</f>
        <v>4v8@artricenter.com.mx</v>
      </c>
    </row>
    <row r="122" spans="1:11" s="11" customFormat="1" ht="12.75" customHeight="1" thickBot="1" x14ac:dyDescent="0.25">
      <c r="A122" s="13"/>
      <c r="B122" s="3" t="e">
        <f t="shared" si="1"/>
        <v>#REF!</v>
      </c>
      <c r="C122" s="4" t="s">
        <v>51</v>
      </c>
      <c r="D122" s="16">
        <v>0</v>
      </c>
      <c r="E122" s="18"/>
      <c r="G122" s="30">
        <f>D122-E122</f>
        <v>0</v>
      </c>
      <c r="H122" s="11">
        <f>VLOOKUP(C122,Hoja2!A:B,2,FALSE)</f>
        <v>1011065</v>
      </c>
      <c r="I122" s="11" t="str">
        <f>VLOOKUP(C122,Hoja2!A:C,3,FALSE)</f>
        <v>1r20@artricenter.com.mx</v>
      </c>
    </row>
    <row r="123" spans="1:11" s="11" customFormat="1" ht="12.75" customHeight="1" thickBot="1" x14ac:dyDescent="0.25">
      <c r="A123" s="13"/>
      <c r="B123" s="3" t="e">
        <f t="shared" si="1"/>
        <v>#REF!</v>
      </c>
      <c r="C123" s="4" t="s">
        <v>224</v>
      </c>
      <c r="D123" s="16">
        <v>6</v>
      </c>
      <c r="E123" s="18"/>
      <c r="G123" s="30">
        <f>D123-E123</f>
        <v>6</v>
      </c>
      <c r="H123" s="11">
        <f>VLOOKUP(C123,Hoja2!A:B,2,FALSE)</f>
        <v>1414324</v>
      </c>
      <c r="I123" s="11" t="str">
        <f>VLOOKUP(C123,Hoja2!A:C,3,FALSE)</f>
        <v>17@grupolefarma.com.mx</v>
      </c>
      <c r="K123" s="4" t="s">
        <v>119</v>
      </c>
    </row>
    <row r="124" spans="1:11" s="11" customFormat="1" ht="12.75" customHeight="1" thickBot="1" x14ac:dyDescent="0.25">
      <c r="A124" s="13"/>
      <c r="B124" s="3" t="e">
        <f t="shared" si="1"/>
        <v>#REF!</v>
      </c>
      <c r="C124" s="4" t="s">
        <v>52</v>
      </c>
      <c r="D124" s="16">
        <v>26</v>
      </c>
      <c r="E124" s="18">
        <v>3</v>
      </c>
      <c r="G124" s="30">
        <f>D124-E124</f>
        <v>23</v>
      </c>
      <c r="H124" s="11">
        <f>VLOOKUP(C124,Hoja2!A:B,2,FALSE)</f>
        <v>1112091</v>
      </c>
      <c r="I124" s="11" t="str">
        <f>VLOOKUP(C124,Hoja2!A:C,3,FALSE)</f>
        <v>2z7@artricenter.com.mx</v>
      </c>
    </row>
    <row r="125" spans="1:11" s="11" customFormat="1" ht="12.75" customHeight="1" thickBot="1" x14ac:dyDescent="0.25">
      <c r="A125" s="13"/>
      <c r="B125" s="3" t="e">
        <f t="shared" si="1"/>
        <v>#REF!</v>
      </c>
      <c r="C125" s="5" t="s">
        <v>194</v>
      </c>
      <c r="D125" s="16">
        <v>0</v>
      </c>
      <c r="E125" s="18"/>
      <c r="G125" s="30">
        <f>D125-E125</f>
        <v>0</v>
      </c>
      <c r="H125" s="11">
        <f>VLOOKUP(C125,Hoja2!A:B,2,FALSE)</f>
        <v>1210555</v>
      </c>
      <c r="I125" s="11" t="str">
        <f>VLOOKUP(C125,Hoja2!A:C,3,FALSE)</f>
        <v>3a17@artricenter.com.mx</v>
      </c>
    </row>
    <row r="126" spans="1:11" s="11" customFormat="1" ht="12.75" customHeight="1" thickBot="1" x14ac:dyDescent="0.25">
      <c r="A126" s="13"/>
      <c r="B126" s="3" t="e">
        <f t="shared" si="1"/>
        <v>#REF!</v>
      </c>
      <c r="C126" s="4" t="s">
        <v>53</v>
      </c>
      <c r="D126" s="16">
        <v>4</v>
      </c>
      <c r="E126" s="18">
        <v>1</v>
      </c>
      <c r="G126" s="30">
        <f>D126-E126</f>
        <v>3</v>
      </c>
      <c r="H126" s="11">
        <f>VLOOKUP(C126,Hoja2!A:B,2,FALSE)</f>
        <v>1012066</v>
      </c>
      <c r="I126" s="11" t="str">
        <f>VLOOKUP(C126,Hoja2!A:C,3,FALSE)</f>
        <v>1r14@artricenter.com.mx</v>
      </c>
    </row>
    <row r="127" spans="1:11" s="11" customFormat="1" ht="12.75" customHeight="1" thickBot="1" x14ac:dyDescent="0.25">
      <c r="A127" s="13"/>
      <c r="B127" s="3" t="e">
        <f t="shared" si="1"/>
        <v>#REF!</v>
      </c>
      <c r="C127" s="4" t="s">
        <v>139</v>
      </c>
      <c r="D127" s="16">
        <v>3</v>
      </c>
      <c r="E127" s="18"/>
      <c r="G127" s="30">
        <f>D127-E127</f>
        <v>3</v>
      </c>
      <c r="H127" s="11">
        <f>VLOOKUP(C127,Hoja2!A:B,2,FALSE)</f>
        <v>1029431</v>
      </c>
      <c r="I127" s="11" t="str">
        <f>VLOOKUP(C127,Hoja2!A:C,3,FALSE)</f>
        <v>6@grupolefarma.com.mx</v>
      </c>
    </row>
    <row r="128" spans="1:11" s="11" customFormat="1" ht="12.75" customHeight="1" thickBot="1" x14ac:dyDescent="0.25">
      <c r="A128" s="13"/>
      <c r="B128" s="3" t="e">
        <f t="shared" si="1"/>
        <v>#REF!</v>
      </c>
      <c r="C128" s="4" t="s">
        <v>108</v>
      </c>
      <c r="D128" s="16">
        <v>4</v>
      </c>
      <c r="E128" s="18"/>
      <c r="G128" s="30">
        <f>D128-E128</f>
        <v>4</v>
      </c>
      <c r="H128" s="11">
        <f>VLOOKUP(C128,Hoja2!A:B,2,FALSE)</f>
        <v>1113217</v>
      </c>
      <c r="I128" s="11" t="str">
        <f>VLOOKUP(C128,Hoja2!A:C,3,FALSE)</f>
        <v>23@grupolefarma.com.mx</v>
      </c>
    </row>
    <row r="129" spans="1:11" s="11" customFormat="1" ht="12.75" customHeight="1" thickBot="1" x14ac:dyDescent="0.25">
      <c r="A129" s="13"/>
      <c r="B129" s="3" t="e">
        <f t="shared" si="1"/>
        <v>#REF!</v>
      </c>
      <c r="C129" s="4" t="s">
        <v>123</v>
      </c>
      <c r="D129" s="16">
        <v>-9</v>
      </c>
      <c r="E129" s="18"/>
      <c r="G129" s="30">
        <f>D129-E129</f>
        <v>-9</v>
      </c>
      <c r="H129" s="11">
        <f>VLOOKUP(C129,Hoja2!A:B,2,FALSE)</f>
        <v>1010361</v>
      </c>
      <c r="I129" s="11" t="str">
        <f>VLOOKUP(C129,Hoja2!A:C,3,FALSE)</f>
        <v>1r29@artricenter.com.mx</v>
      </c>
    </row>
    <row r="130" spans="1:11" s="11" customFormat="1" ht="12.75" customHeight="1" thickBot="1" x14ac:dyDescent="0.25">
      <c r="A130" s="13"/>
      <c r="B130" s="3" t="e">
        <f t="shared" si="1"/>
        <v>#REF!</v>
      </c>
      <c r="C130" s="4" t="s">
        <v>184</v>
      </c>
      <c r="D130" s="16">
        <v>-3</v>
      </c>
      <c r="E130" s="18"/>
      <c r="G130" s="30">
        <f>D130-E130</f>
        <v>-3</v>
      </c>
      <c r="H130" s="11">
        <f>VLOOKUP(C130,Hoja2!A:B,2,FALSE)</f>
        <v>1011529</v>
      </c>
      <c r="I130" s="11" t="str">
        <f>VLOOKUP(C130,Hoja2!A:C,3,FALSE)</f>
        <v>1r13@artricenter.com.mx</v>
      </c>
    </row>
    <row r="131" spans="1:11" s="11" customFormat="1" ht="12.75" hidden="1" customHeight="1" thickBot="1" x14ac:dyDescent="0.25">
      <c r="A131" s="13"/>
      <c r="B131" s="3" t="e">
        <f t="shared" si="1"/>
        <v>#REF!</v>
      </c>
      <c r="C131" s="4" t="s">
        <v>185</v>
      </c>
      <c r="D131" s="16">
        <v>0</v>
      </c>
      <c r="E131" s="18"/>
      <c r="G131" s="30">
        <f>D131-E131</f>
        <v>0</v>
      </c>
      <c r="H131" s="11" t="e">
        <f>VLOOKUP(C131,Hoja2!A:B,2,FALSE)</f>
        <v>#N/A</v>
      </c>
      <c r="I131" s="11" t="e">
        <f>VLOOKUP(C131,Hoja2!A:C,3,FALSE)</f>
        <v>#N/A</v>
      </c>
      <c r="K131" s="4" t="s">
        <v>440</v>
      </c>
    </row>
    <row r="132" spans="1:11" s="11" customFormat="1" ht="12.75" hidden="1" customHeight="1" thickBot="1" x14ac:dyDescent="0.25">
      <c r="A132" s="13"/>
      <c r="B132" s="3" t="e">
        <f t="shared" si="1"/>
        <v>#REF!</v>
      </c>
      <c r="C132" s="4" t="s">
        <v>105</v>
      </c>
      <c r="D132" s="16">
        <v>-2</v>
      </c>
      <c r="E132" s="18"/>
      <c r="G132" s="30">
        <f>D132-E132</f>
        <v>-2</v>
      </c>
      <c r="H132" s="11" t="e">
        <f>VLOOKUP(C132,Hoja2!A:B,2,FALSE)</f>
        <v>#N/A</v>
      </c>
      <c r="I132" s="11" t="e">
        <f>VLOOKUP(C132,Hoja2!A:C,3,FALSE)</f>
        <v>#N/A</v>
      </c>
      <c r="K132" s="4" t="s">
        <v>440</v>
      </c>
    </row>
    <row r="133" spans="1:11" s="11" customFormat="1" ht="12.75" customHeight="1" thickBot="1" x14ac:dyDescent="0.25">
      <c r="A133" s="13"/>
      <c r="B133" s="3" t="e">
        <f t="shared" ref="B133:B196" si="2">+B132+1</f>
        <v>#REF!</v>
      </c>
      <c r="C133" s="4" t="s">
        <v>56</v>
      </c>
      <c r="D133" s="16">
        <v>40</v>
      </c>
      <c r="E133" s="18"/>
      <c r="G133" s="30">
        <f>D133-E133</f>
        <v>40</v>
      </c>
      <c r="H133" s="11">
        <f>VLOOKUP(C133,Hoja2!A:B,2,FALSE)</f>
        <v>1210103</v>
      </c>
      <c r="I133" s="11" t="str">
        <f>VLOOKUP(C133,Hoja2!A:C,3,FALSE)</f>
        <v>3a7@artricenter.com.mx</v>
      </c>
    </row>
    <row r="134" spans="1:11" s="11" customFormat="1" ht="12.75" customHeight="1" thickBot="1" x14ac:dyDescent="0.25">
      <c r="A134" s="13"/>
      <c r="B134" s="3" t="e">
        <f t="shared" si="2"/>
        <v>#REF!</v>
      </c>
      <c r="C134" s="4" t="s">
        <v>57</v>
      </c>
      <c r="D134" s="16">
        <v>5</v>
      </c>
      <c r="E134" s="18"/>
      <c r="G134" s="30">
        <f>D134-E134</f>
        <v>5</v>
      </c>
      <c r="H134" s="11">
        <f>VLOOKUP(C134,Hoja2!A:B,2,FALSE)</f>
        <v>1128096</v>
      </c>
      <c r="I134" s="11" t="str">
        <f>VLOOKUP(C134,Hoja2!A:C,3,FALSE)</f>
        <v>4v11@artricenter.com.mx</v>
      </c>
    </row>
    <row r="135" spans="1:11" s="11" customFormat="1" ht="12.75" customHeight="1" thickBot="1" x14ac:dyDescent="0.25">
      <c r="A135" s="13"/>
      <c r="B135" s="3" t="e">
        <f t="shared" si="2"/>
        <v>#REF!</v>
      </c>
      <c r="C135" s="4" t="s">
        <v>58</v>
      </c>
      <c r="D135" s="16">
        <v>40</v>
      </c>
      <c r="E135" s="18">
        <v>4</v>
      </c>
      <c r="G135" s="30">
        <f>D135-E135</f>
        <v>36</v>
      </c>
      <c r="H135" s="11">
        <f>VLOOKUP(C135,Hoja2!A:B,2,FALSE)</f>
        <v>1132218</v>
      </c>
      <c r="I135" s="11" t="str">
        <f>VLOOKUP(C135,Hoja2!A:C,3,FALSE)</f>
        <v>9@grupolefarma.com.mx</v>
      </c>
    </row>
    <row r="136" spans="1:11" s="11" customFormat="1" ht="12.75" customHeight="1" thickBot="1" x14ac:dyDescent="0.25">
      <c r="A136" s="13"/>
      <c r="B136" s="3" t="e">
        <f t="shared" si="2"/>
        <v>#REF!</v>
      </c>
      <c r="C136" s="4" t="s">
        <v>59</v>
      </c>
      <c r="D136" s="16">
        <v>23</v>
      </c>
      <c r="E136" s="18">
        <v>1</v>
      </c>
      <c r="G136" s="30">
        <f>D136-E136</f>
        <v>22</v>
      </c>
      <c r="H136" s="11">
        <f>VLOOKUP(C136,Hoja2!A:B,2,FALSE)</f>
        <v>1015034</v>
      </c>
      <c r="I136" s="11" t="str">
        <f>VLOOKUP(C136,Hoja2!A:C,3,FALSE)</f>
        <v>cat4@artricenter.com.mx</v>
      </c>
    </row>
    <row r="137" spans="1:11" s="11" customFormat="1" ht="12.75" customHeight="1" thickBot="1" x14ac:dyDescent="0.25">
      <c r="A137" s="13"/>
      <c r="B137" s="3" t="e">
        <f t="shared" si="2"/>
        <v>#REF!</v>
      </c>
      <c r="C137" s="5" t="s">
        <v>60</v>
      </c>
      <c r="D137" s="16">
        <v>37</v>
      </c>
      <c r="E137" s="18">
        <v>5</v>
      </c>
      <c r="G137" s="30">
        <f>D137-E137</f>
        <v>32</v>
      </c>
      <c r="H137" s="11">
        <f>VLOOKUP(C137,Hoja2!A:B,2,FALSE)</f>
        <v>1110075</v>
      </c>
      <c r="I137" s="11" t="str">
        <f>VLOOKUP(C137,Hoja2!A:C,3,FALSE)</f>
        <v>2z5@artricenter.com.mx</v>
      </c>
    </row>
    <row r="138" spans="1:11" s="11" customFormat="1" ht="12" thickBot="1" x14ac:dyDescent="0.25">
      <c r="A138" s="13"/>
      <c r="B138" s="3" t="e">
        <f t="shared" si="2"/>
        <v>#REF!</v>
      </c>
      <c r="C138" s="4" t="s">
        <v>340</v>
      </c>
      <c r="D138" s="16">
        <v>-9</v>
      </c>
      <c r="E138" s="18"/>
      <c r="G138" s="30">
        <f>D138-E138</f>
        <v>-9</v>
      </c>
      <c r="H138" s="11">
        <f>VLOOKUP(C138,Hoja2!A:B,2,FALSE)</f>
        <v>1530368</v>
      </c>
      <c r="I138" s="11" t="str">
        <f>VLOOKUP(C138,Hoja2!A:C,3,FALSE)</f>
        <v>32@grupolefarma.com.mx</v>
      </c>
      <c r="K138" s="4" t="s">
        <v>124</v>
      </c>
    </row>
    <row r="139" spans="1:11" s="11" customFormat="1" ht="12.75" customHeight="1" thickBot="1" x14ac:dyDescent="0.25">
      <c r="A139" s="13"/>
      <c r="B139" s="3" t="e">
        <f t="shared" si="2"/>
        <v>#REF!</v>
      </c>
      <c r="C139" s="4" t="s">
        <v>196</v>
      </c>
      <c r="D139" s="16">
        <v>0</v>
      </c>
      <c r="E139" s="18"/>
      <c r="G139" s="30">
        <f>D139-E139</f>
        <v>0</v>
      </c>
      <c r="H139" s="11">
        <f>VLOOKUP(C139,Hoja2!A:B,2,FALSE)</f>
        <v>1114558</v>
      </c>
      <c r="I139" s="11" t="str">
        <f>VLOOKUP(C139,Hoja2!A:C,3,FALSE)</f>
        <v>cc9@artricenter.com.mx</v>
      </c>
    </row>
    <row r="140" spans="1:11" s="11" customFormat="1" ht="12.75" customHeight="1" thickBot="1" x14ac:dyDescent="0.25">
      <c r="A140" s="13"/>
      <c r="B140" s="3" t="e">
        <f t="shared" si="2"/>
        <v>#REF!</v>
      </c>
      <c r="C140" s="4" t="s">
        <v>61</v>
      </c>
      <c r="D140" s="16">
        <v>3</v>
      </c>
      <c r="E140" s="18">
        <v>1</v>
      </c>
      <c r="G140" s="30">
        <f>D140-E140</f>
        <v>2</v>
      </c>
      <c r="H140" s="11">
        <f>VLOOKUP(C140,Hoja2!A:B,2,FALSE)</f>
        <v>1029068</v>
      </c>
      <c r="I140" s="11" t="str">
        <f>VLOOKUP(C140,Hoja2!A:C,3,FALSE)</f>
        <v>1r903@artricenter.com.mx</v>
      </c>
    </row>
    <row r="141" spans="1:11" s="11" customFormat="1" ht="12.75" customHeight="1" thickBot="1" x14ac:dyDescent="0.25">
      <c r="A141" s="13"/>
      <c r="B141" s="3" t="e">
        <f t="shared" si="2"/>
        <v>#REF!</v>
      </c>
      <c r="C141" s="4" t="s">
        <v>62</v>
      </c>
      <c r="D141" s="16">
        <v>39</v>
      </c>
      <c r="E141" s="18"/>
      <c r="G141" s="30">
        <f>D141-E141</f>
        <v>39</v>
      </c>
      <c r="H141" s="11">
        <f>VLOOKUP(C141,Hoja2!A:B,2,FALSE)</f>
        <v>1114043</v>
      </c>
      <c r="I141" s="11" t="str">
        <f>VLOOKUP(C141,Hoja2!A:C,3,FALSE)</f>
        <v>cc7@artricenter.com.mx</v>
      </c>
    </row>
    <row r="142" spans="1:11" s="11" customFormat="1" ht="12.75" customHeight="1" thickBot="1" x14ac:dyDescent="0.25">
      <c r="A142" s="13"/>
      <c r="B142" s="3" t="e">
        <f t="shared" si="2"/>
        <v>#REF!</v>
      </c>
      <c r="C142" s="4" t="s">
        <v>63</v>
      </c>
      <c r="D142" s="16">
        <v>-2</v>
      </c>
      <c r="E142" s="18">
        <v>1</v>
      </c>
      <c r="G142" s="30">
        <f>D142-E142</f>
        <v>-3</v>
      </c>
      <c r="H142" s="11">
        <f>VLOOKUP(C142,Hoja2!A:B,2,FALSE)</f>
        <v>1311129</v>
      </c>
      <c r="I142" s="11" t="str">
        <f>VLOOKUP(C142,Hoja2!A:C,3,FALSE)</f>
        <v>4v12@artricenter.com.mx</v>
      </c>
    </row>
    <row r="143" spans="1:11" s="11" customFormat="1" ht="12.75" customHeight="1" thickBot="1" x14ac:dyDescent="0.25">
      <c r="A143" s="13"/>
      <c r="B143" s="3" t="e">
        <f t="shared" si="2"/>
        <v>#REF!</v>
      </c>
      <c r="C143" s="5" t="s">
        <v>64</v>
      </c>
      <c r="D143" s="16">
        <v>134</v>
      </c>
      <c r="E143" s="18"/>
      <c r="G143" s="30">
        <f>D143-E143</f>
        <v>134</v>
      </c>
      <c r="H143" s="11">
        <f>VLOOKUP(C143,Hoja2!A:B,2,FALSE)</f>
        <v>1123188</v>
      </c>
      <c r="I143" s="11" t="str">
        <f>VLOOKUP(C143,Hoja2!A:C,3,FALSE)</f>
        <v>1cm901@construmedika.com</v>
      </c>
    </row>
    <row r="144" spans="1:11" s="11" customFormat="1" ht="12.75" customHeight="1" thickBot="1" x14ac:dyDescent="0.25">
      <c r="A144" s="13"/>
      <c r="B144" s="3" t="e">
        <f t="shared" si="2"/>
        <v>#REF!</v>
      </c>
      <c r="C144" s="4" t="s">
        <v>121</v>
      </c>
      <c r="D144" s="16">
        <v>8</v>
      </c>
      <c r="E144" s="18"/>
      <c r="G144" s="30">
        <f>D144-E144</f>
        <v>8</v>
      </c>
      <c r="H144" s="11">
        <f>VLOOKUP(C144,Hoja2!A:B,2,FALSE)</f>
        <v>1530342</v>
      </c>
      <c r="I144" s="11" t="str">
        <f>VLOOKUP(C144,Hoja2!A:C,3,FALSE)</f>
        <v>35@grupolefarma.com.mx</v>
      </c>
    </row>
    <row r="145" spans="1:11" s="11" customFormat="1" ht="12.75" hidden="1" customHeight="1" thickBot="1" x14ac:dyDescent="0.25">
      <c r="A145" s="13"/>
      <c r="B145" s="3" t="e">
        <f t="shared" si="2"/>
        <v>#REF!</v>
      </c>
      <c r="C145" s="4" t="s">
        <v>189</v>
      </c>
      <c r="D145" s="16">
        <v>0</v>
      </c>
      <c r="E145" s="18"/>
      <c r="G145" s="30">
        <f>D145-E145</f>
        <v>0</v>
      </c>
      <c r="H145" s="11" t="e">
        <f>VLOOKUP(C145,Hoja2!A:B,2,FALSE)</f>
        <v>#N/A</v>
      </c>
      <c r="I145" s="11" t="e">
        <f>VLOOKUP(C145,Hoja2!A:C,3,FALSE)</f>
        <v>#N/A</v>
      </c>
      <c r="K145" s="4" t="s">
        <v>440</v>
      </c>
    </row>
    <row r="146" spans="1:11" s="11" customFormat="1" ht="12.75" hidden="1" customHeight="1" thickBot="1" x14ac:dyDescent="0.25">
      <c r="A146" s="13"/>
      <c r="B146" s="3" t="e">
        <f t="shared" si="2"/>
        <v>#REF!</v>
      </c>
      <c r="C146" s="4" t="s">
        <v>192</v>
      </c>
      <c r="D146" s="16">
        <v>0</v>
      </c>
      <c r="E146" s="18"/>
      <c r="G146" s="30">
        <f>D146-E146</f>
        <v>0</v>
      </c>
      <c r="H146" s="11" t="e">
        <f>VLOOKUP(C146,Hoja2!A:B,2,FALSE)</f>
        <v>#N/A</v>
      </c>
      <c r="I146" s="11" t="e">
        <f>VLOOKUP(C146,Hoja2!A:C,3,FALSE)</f>
        <v>#N/A</v>
      </c>
      <c r="K146" s="4" t="s">
        <v>440</v>
      </c>
    </row>
    <row r="147" spans="1:11" s="11" customFormat="1" ht="12.75" customHeight="1" thickBot="1" x14ac:dyDescent="0.25">
      <c r="A147" s="13"/>
      <c r="B147" s="3" t="e">
        <f t="shared" si="2"/>
        <v>#REF!</v>
      </c>
      <c r="C147" s="4" t="s">
        <v>65</v>
      </c>
      <c r="D147" s="16">
        <v>27</v>
      </c>
      <c r="E147" s="18"/>
      <c r="G147" s="30">
        <f>D147-E147</f>
        <v>27</v>
      </c>
      <c r="H147" s="11">
        <f>VLOOKUP(C147,Hoja2!A:B,2,FALSE)</f>
        <v>1127214</v>
      </c>
      <c r="I147" s="11" t="str">
        <f>VLOOKUP(C147,Hoja2!A:C,3,FALSE)</f>
        <v>15@grupolefarma.com.mx</v>
      </c>
    </row>
    <row r="148" spans="1:11" s="11" customFormat="1" ht="12.75" customHeight="1" thickBot="1" x14ac:dyDescent="0.25">
      <c r="A148" s="13"/>
      <c r="B148" s="3" t="e">
        <f t="shared" si="2"/>
        <v>#REF!</v>
      </c>
      <c r="C148" s="4" t="s">
        <v>66</v>
      </c>
      <c r="D148" s="16">
        <v>28</v>
      </c>
      <c r="E148" s="18"/>
      <c r="G148" s="30">
        <f>D148-E148</f>
        <v>28</v>
      </c>
      <c r="H148" s="11">
        <f>VLOOKUP(C148,Hoja2!A:B,2,FALSE)</f>
        <v>1328146</v>
      </c>
      <c r="I148" s="11" t="str">
        <f>VLOOKUP(C148,Hoja2!A:C,3,FALSE)</f>
        <v>1r28@artricenter.com.mx</v>
      </c>
    </row>
    <row r="149" spans="1:11" s="11" customFormat="1" ht="12.75" customHeight="1" thickBot="1" x14ac:dyDescent="0.25">
      <c r="A149" s="13"/>
      <c r="B149" s="3" t="e">
        <f t="shared" si="2"/>
        <v>#REF!</v>
      </c>
      <c r="C149" s="4" t="s">
        <v>67</v>
      </c>
      <c r="D149" s="16">
        <v>1</v>
      </c>
      <c r="E149" s="18">
        <v>4</v>
      </c>
      <c r="G149" s="30">
        <f>D149-E149</f>
        <v>-3</v>
      </c>
      <c r="H149" s="11">
        <f>VLOOKUP(C149,Hoja2!A:B,2,FALSE)</f>
        <v>1113014</v>
      </c>
      <c r="I149" s="11" t="str">
        <f>VLOOKUP(C149,Hoja2!A:C,3,FALSE)</f>
        <v>4v900@artricenter.com.mx</v>
      </c>
    </row>
    <row r="150" spans="1:11" s="11" customFormat="1" ht="12.75" customHeight="1" thickBot="1" x14ac:dyDescent="0.25">
      <c r="A150" s="13"/>
      <c r="B150" s="3" t="e">
        <f t="shared" si="2"/>
        <v>#REF!</v>
      </c>
      <c r="C150" s="4" t="s">
        <v>68</v>
      </c>
      <c r="D150" s="16">
        <v>6</v>
      </c>
      <c r="E150" s="18"/>
      <c r="G150" s="30">
        <f>D150-E150</f>
        <v>6</v>
      </c>
      <c r="H150" s="11">
        <f>VLOOKUP(C150,Hoja2!A:B,2,FALSE)</f>
        <v>1311142</v>
      </c>
      <c r="I150" s="11" t="str">
        <f>VLOOKUP(C150,Hoja2!A:C,3,FALSE)</f>
        <v>4v17@artricenter.com.mx</v>
      </c>
    </row>
    <row r="151" spans="1:11" s="11" customFormat="1" ht="12.75" customHeight="1" thickBot="1" x14ac:dyDescent="0.25">
      <c r="A151" s="13"/>
      <c r="B151" s="3" t="e">
        <f t="shared" si="2"/>
        <v>#REF!</v>
      </c>
      <c r="C151" s="4" t="s">
        <v>117</v>
      </c>
      <c r="D151" s="16">
        <v>4</v>
      </c>
      <c r="E151" s="18"/>
      <c r="G151" s="30">
        <f>D151-E151</f>
        <v>4</v>
      </c>
      <c r="H151" s="11">
        <f>VLOOKUP(C151,Hoja2!A:B,2,FALSE)</f>
        <v>1310315</v>
      </c>
      <c r="I151" s="11" t="str">
        <f>VLOOKUP(C151,Hoja2!A:C,3,FALSE)</f>
        <v>4v16@artricenter.com.mx</v>
      </c>
    </row>
    <row r="152" spans="1:11" s="11" customFormat="1" ht="12.75" customHeight="1" thickBot="1" x14ac:dyDescent="0.25">
      <c r="A152" s="13"/>
      <c r="B152" s="3" t="e">
        <f t="shared" si="2"/>
        <v>#REF!</v>
      </c>
      <c r="C152" s="4" t="s">
        <v>69</v>
      </c>
      <c r="D152" s="16">
        <v>-9</v>
      </c>
      <c r="E152" s="18">
        <v>3</v>
      </c>
      <c r="G152" s="30">
        <f>D152-E152</f>
        <v>-12</v>
      </c>
      <c r="H152" s="11">
        <f>VLOOKUP(C152,Hoja2!A:B,2,FALSE)</f>
        <v>1015041</v>
      </c>
      <c r="I152" s="11" t="str">
        <f>VLOOKUP(C152,Hoja2!A:C,3,FALSE)</f>
        <v>cat14@artricenter.com.mx</v>
      </c>
    </row>
    <row r="153" spans="1:11" s="11" customFormat="1" ht="12.75" customHeight="1" thickBot="1" x14ac:dyDescent="0.25">
      <c r="A153" s="13"/>
      <c r="B153" s="3" t="e">
        <f t="shared" si="2"/>
        <v>#REF!</v>
      </c>
      <c r="C153" s="4" t="s">
        <v>122</v>
      </c>
      <c r="D153" s="16">
        <v>-10</v>
      </c>
      <c r="E153" s="18"/>
      <c r="G153" s="30">
        <f>D153-E153</f>
        <v>-10</v>
      </c>
      <c r="H153" s="11">
        <f>VLOOKUP(C153,Hoja2!A:B,2,FALSE)</f>
        <v>1328348</v>
      </c>
      <c r="I153" s="11" t="str">
        <f>VLOOKUP(C153,Hoja2!A:C,3,FALSE)</f>
        <v>4v905@artricenter.com.mx</v>
      </c>
    </row>
    <row r="154" spans="1:11" s="11" customFormat="1" ht="12.75" customHeight="1" thickBot="1" x14ac:dyDescent="0.25">
      <c r="A154" s="13"/>
      <c r="B154" s="3" t="e">
        <f t="shared" si="2"/>
        <v>#REF!</v>
      </c>
      <c r="C154" s="4" t="s">
        <v>70</v>
      </c>
      <c r="D154" s="16">
        <v>9</v>
      </c>
      <c r="E154" s="18"/>
      <c r="G154" s="30">
        <f>D154-E154</f>
        <v>9</v>
      </c>
      <c r="H154" s="11">
        <f>VLOOKUP(C154,Hoja2!A:B,2,FALSE)</f>
        <v>1012003</v>
      </c>
      <c r="I154" s="11" t="str">
        <f>VLOOKUP(C154,Hoja2!A:C,3,FALSE)</f>
        <v>1r2@artricenter.com.mx</v>
      </c>
    </row>
    <row r="155" spans="1:11" s="11" customFormat="1" ht="12.75" customHeight="1" thickBot="1" x14ac:dyDescent="0.25">
      <c r="A155" s="13"/>
      <c r="B155" s="3" t="e">
        <f t="shared" si="2"/>
        <v>#REF!</v>
      </c>
      <c r="C155" s="4" t="s">
        <v>71</v>
      </c>
      <c r="D155" s="16">
        <v>7</v>
      </c>
      <c r="E155" s="18"/>
      <c r="G155" s="30">
        <f>D155-E155</f>
        <v>7</v>
      </c>
      <c r="H155" s="11">
        <f>VLOOKUP(C155,Hoja2!A:B,2,FALSE)</f>
        <v>1210108</v>
      </c>
      <c r="I155" s="11" t="str">
        <f>VLOOKUP(C155,Hoja2!A:C,3,FALSE)</f>
        <v>3a14@artricenter.com.mx</v>
      </c>
    </row>
    <row r="156" spans="1:11" s="11" customFormat="1" ht="12.75" customHeight="1" thickBot="1" x14ac:dyDescent="0.25">
      <c r="A156" s="13"/>
      <c r="B156" s="3" t="e">
        <f t="shared" si="2"/>
        <v>#REF!</v>
      </c>
      <c r="C156" s="4" t="s">
        <v>151</v>
      </c>
      <c r="D156" s="16">
        <v>2</v>
      </c>
      <c r="E156" s="18">
        <v>2</v>
      </c>
      <c r="G156" s="30">
        <f>D156-E156</f>
        <v>0</v>
      </c>
      <c r="H156" s="11">
        <f>VLOOKUP(C156,Hoja2!A:B,2,FALSE)</f>
        <v>1010475</v>
      </c>
      <c r="I156" s="11" t="str">
        <f>VLOOKUP(C156,Hoja2!A:C,3,FALSE)</f>
        <v>1r5@artricenter.com.mx</v>
      </c>
    </row>
    <row r="157" spans="1:11" s="11" customFormat="1" ht="12.75" customHeight="1" thickBot="1" x14ac:dyDescent="0.25">
      <c r="A157" s="13"/>
      <c r="B157" s="3" t="e">
        <f t="shared" si="2"/>
        <v>#REF!</v>
      </c>
      <c r="C157" s="4" t="s">
        <v>72</v>
      </c>
      <c r="D157" s="16">
        <v>15</v>
      </c>
      <c r="E157" s="18">
        <v>2</v>
      </c>
      <c r="G157" s="30">
        <f>D157-E157</f>
        <v>13</v>
      </c>
      <c r="H157" s="11">
        <f>VLOOKUP(C157,Hoja2!A:B,2,FALSE)</f>
        <v>1629097</v>
      </c>
      <c r="I157" s="11" t="str">
        <f>VLOOKUP(C157,Hoja2!A:C,3,FALSE)</f>
        <v>29@grupolefarma.com.mx</v>
      </c>
    </row>
    <row r="158" spans="1:11" s="11" customFormat="1" ht="12.75" customHeight="1" thickBot="1" x14ac:dyDescent="0.25">
      <c r="A158" s="13"/>
      <c r="B158" s="3" t="e">
        <f t="shared" si="2"/>
        <v>#REF!</v>
      </c>
      <c r="C158" s="4" t="s">
        <v>134</v>
      </c>
      <c r="D158" s="16">
        <v>-1</v>
      </c>
      <c r="E158" s="18">
        <v>1</v>
      </c>
      <c r="G158" s="30">
        <f>D158-E158</f>
        <v>-2</v>
      </c>
      <c r="H158" s="11">
        <f>VLOOKUP(C158,Hoja2!A:B,2,FALSE)</f>
        <v>1012413</v>
      </c>
      <c r="I158" s="11" t="str">
        <f>VLOOKUP(C158,Hoja2!A:C,3,FALSE)</f>
        <v>1r32@artricenter.com.mx</v>
      </c>
    </row>
    <row r="159" spans="1:11" s="11" customFormat="1" ht="12.75" customHeight="1" thickBot="1" x14ac:dyDescent="0.25">
      <c r="A159" s="13"/>
      <c r="B159" s="3" t="e">
        <f t="shared" si="2"/>
        <v>#REF!</v>
      </c>
      <c r="C159" s="4" t="s">
        <v>73</v>
      </c>
      <c r="D159" s="16">
        <v>53</v>
      </c>
      <c r="E159" s="18"/>
      <c r="G159" s="30">
        <f>D159-E159</f>
        <v>53</v>
      </c>
      <c r="H159" s="11">
        <f>VLOOKUP(C159,Hoja2!A:B,2,FALSE)</f>
        <v>1111086</v>
      </c>
      <c r="I159" s="11" t="str">
        <f>VLOOKUP(C159,Hoja2!A:C,3,FALSE)</f>
        <v>1r16@artricenter.com.mx</v>
      </c>
    </row>
    <row r="160" spans="1:11" s="11" customFormat="1" ht="12.75" hidden="1" customHeight="1" thickBot="1" x14ac:dyDescent="0.25">
      <c r="A160" s="13"/>
      <c r="B160" s="3" t="e">
        <f t="shared" si="2"/>
        <v>#REF!</v>
      </c>
      <c r="C160" s="4" t="s">
        <v>186</v>
      </c>
      <c r="D160" s="16">
        <v>0</v>
      </c>
      <c r="E160" s="18"/>
      <c r="G160" s="30">
        <f>D160-E160</f>
        <v>0</v>
      </c>
      <c r="H160" s="11" t="e">
        <f>VLOOKUP(C160,Hoja2!A:B,2,FALSE)</f>
        <v>#N/A</v>
      </c>
      <c r="I160" s="11" t="e">
        <f>VLOOKUP(C160,Hoja2!A:C,3,FALSE)</f>
        <v>#N/A</v>
      </c>
      <c r="K160" s="4" t="s">
        <v>440</v>
      </c>
    </row>
    <row r="161" spans="1:11" s="11" customFormat="1" ht="12.75" customHeight="1" thickBot="1" x14ac:dyDescent="0.25">
      <c r="A161" s="13"/>
      <c r="B161" s="3" t="e">
        <f t="shared" si="2"/>
        <v>#REF!</v>
      </c>
      <c r="C161" s="4" t="s">
        <v>74</v>
      </c>
      <c r="D161" s="16">
        <v>-2</v>
      </c>
      <c r="E161" s="18">
        <v>1</v>
      </c>
      <c r="G161" s="30">
        <f>D161-E161</f>
        <v>-3</v>
      </c>
      <c r="H161" s="11">
        <f>VLOOKUP(C161,Hoja2!A:B,2,FALSE)</f>
        <v>1112094</v>
      </c>
      <c r="I161" s="11" t="str">
        <f>VLOOKUP(C161,Hoja2!A:C,3,FALSE)</f>
        <v>2z27@artricenter.com.mx</v>
      </c>
    </row>
    <row r="162" spans="1:11" s="11" customFormat="1" ht="12.75" customHeight="1" thickBot="1" x14ac:dyDescent="0.25">
      <c r="A162" s="13"/>
      <c r="B162" s="3" t="e">
        <f t="shared" si="2"/>
        <v>#REF!</v>
      </c>
      <c r="C162" s="4" t="s">
        <v>138</v>
      </c>
      <c r="D162" s="16">
        <v>-4</v>
      </c>
      <c r="E162" s="18"/>
      <c r="G162" s="30">
        <f>D162-E162</f>
        <v>-4</v>
      </c>
      <c r="H162" s="11">
        <f>VLOOKUP(C162,Hoja2!A:B,2,FALSE)</f>
        <v>1011425</v>
      </c>
      <c r="I162" s="11" t="str">
        <f>VLOOKUP(C162,Hoja2!A:C,3,FALSE)</f>
        <v>3a21@artricenter.com.mx</v>
      </c>
    </row>
    <row r="163" spans="1:11" s="11" customFormat="1" ht="12.75" customHeight="1" thickBot="1" x14ac:dyDescent="0.25">
      <c r="A163" s="13"/>
      <c r="B163" s="3" t="e">
        <f t="shared" si="2"/>
        <v>#REF!</v>
      </c>
      <c r="C163" s="4" t="s">
        <v>125</v>
      </c>
      <c r="D163" s="16">
        <v>-11</v>
      </c>
      <c r="E163" s="18">
        <v>1</v>
      </c>
      <c r="G163" s="30">
        <f>D163-E163</f>
        <v>-12</v>
      </c>
      <c r="H163" s="11">
        <f>VLOOKUP(C163,Hoja2!A:B,2,FALSE)</f>
        <v>1028379</v>
      </c>
      <c r="I163" s="11" t="str">
        <f>VLOOKUP(C163,Hoja2!A:C,3,FALSE)</f>
        <v>1r902@artricenter.com.mx</v>
      </c>
    </row>
    <row r="164" spans="1:11" s="11" customFormat="1" ht="12.75" customHeight="1" thickBot="1" x14ac:dyDescent="0.25">
      <c r="A164" s="13"/>
      <c r="B164" s="3" t="e">
        <f t="shared" si="2"/>
        <v>#REF!</v>
      </c>
      <c r="C164" s="5" t="s">
        <v>77</v>
      </c>
      <c r="D164" s="16">
        <v>73</v>
      </c>
      <c r="E164" s="18">
        <v>2</v>
      </c>
      <c r="G164" s="30">
        <f>D164-E164</f>
        <v>71</v>
      </c>
      <c r="H164" s="11">
        <f>VLOOKUP(C164,Hoja2!A:B,2,FALSE)</f>
        <v>1128095</v>
      </c>
      <c r="I164" s="11" t="str">
        <f>VLOOKUP(C164,Hoja2!A:C,3,FALSE)</f>
        <v>4v9@artricenter.com.mx</v>
      </c>
    </row>
    <row r="165" spans="1:11" s="11" customFormat="1" ht="12.75" customHeight="1" thickBot="1" x14ac:dyDescent="0.25">
      <c r="A165" s="13"/>
      <c r="B165" s="3" t="e">
        <f t="shared" si="2"/>
        <v>#REF!</v>
      </c>
      <c r="C165" s="4" t="s">
        <v>147</v>
      </c>
      <c r="D165" s="16">
        <v>-3</v>
      </c>
      <c r="E165" s="18"/>
      <c r="G165" s="30">
        <f>D165-E165</f>
        <v>-3</v>
      </c>
      <c r="H165" s="11">
        <f>VLOOKUP(C165,Hoja2!A:B,2,FALSE)</f>
        <v>1530519</v>
      </c>
      <c r="I165" s="11" t="str">
        <f>VLOOKUP(C165,Hoja2!A:C,3,FALSE)</f>
        <v>36@grupolefarma.com.mx</v>
      </c>
    </row>
    <row r="166" spans="1:11" s="11" customFormat="1" ht="12.75" customHeight="1" thickBot="1" x14ac:dyDescent="0.25">
      <c r="A166" s="13"/>
      <c r="B166" s="3" t="e">
        <f t="shared" si="2"/>
        <v>#REF!</v>
      </c>
      <c r="C166" s="4" t="s">
        <v>78</v>
      </c>
      <c r="D166" s="16">
        <v>29</v>
      </c>
      <c r="E166" s="18">
        <v>2</v>
      </c>
      <c r="G166" s="30">
        <f>D166-E166</f>
        <v>27</v>
      </c>
      <c r="H166" s="11">
        <f>VLOOKUP(C166,Hoja2!A:B,2,FALSE)</f>
        <v>1111088</v>
      </c>
      <c r="I166" s="11" t="str">
        <f>VLOOKUP(C166,Hoja2!A:C,3,FALSE)</f>
        <v>4v18@artricenter.com.mx</v>
      </c>
    </row>
    <row r="167" spans="1:11" s="11" customFormat="1" ht="12.75" customHeight="1" thickBot="1" x14ac:dyDescent="0.25">
      <c r="A167" s="13"/>
      <c r="B167" s="3" t="e">
        <f t="shared" si="2"/>
        <v>#REF!</v>
      </c>
      <c r="C167" s="4" t="s">
        <v>79</v>
      </c>
      <c r="D167" s="16">
        <v>10</v>
      </c>
      <c r="E167" s="18"/>
      <c r="G167" s="30">
        <f>D167-E167</f>
        <v>10</v>
      </c>
      <c r="H167" s="11">
        <f>VLOOKUP(C167,Hoja2!A:B,2,FALSE)</f>
        <v>1128098</v>
      </c>
      <c r="I167" s="11" t="str">
        <f>VLOOKUP(C167,Hoja2!A:C,3,FALSE)</f>
        <v>1r906@artricenter.com.mx</v>
      </c>
    </row>
    <row r="168" spans="1:11" s="11" customFormat="1" ht="12.75" customHeight="1" thickBot="1" x14ac:dyDescent="0.25">
      <c r="A168" s="13"/>
      <c r="B168" s="3" t="e">
        <f t="shared" si="2"/>
        <v>#REF!</v>
      </c>
      <c r="C168" s="4" t="s">
        <v>80</v>
      </c>
      <c r="D168" s="16">
        <v>36</v>
      </c>
      <c r="E168" s="18"/>
      <c r="G168" s="30">
        <f>D168-E168</f>
        <v>36</v>
      </c>
      <c r="H168" s="11">
        <f>VLOOKUP(C168,Hoja2!A:B,2,FALSE)</f>
        <v>1629072</v>
      </c>
      <c r="I168" s="11" t="str">
        <f>VLOOKUP(C168,Hoja2!A:C,3,FALSE)</f>
        <v>30@grupolefarma.com.mx</v>
      </c>
    </row>
    <row r="169" spans="1:11" s="11" customFormat="1" ht="12.75" customHeight="1" thickBot="1" x14ac:dyDescent="0.25">
      <c r="A169" s="13"/>
      <c r="B169" s="3" t="e">
        <f t="shared" si="2"/>
        <v>#REF!</v>
      </c>
      <c r="C169" s="4" t="s">
        <v>111</v>
      </c>
      <c r="D169" s="16">
        <v>0</v>
      </c>
      <c r="E169" s="18">
        <v>3</v>
      </c>
      <c r="G169" s="30">
        <f>D169-E169</f>
        <v>-3</v>
      </c>
      <c r="H169" s="11">
        <f>VLOOKUP(C169,Hoja2!A:B,2,FALSE)</f>
        <v>1013291</v>
      </c>
      <c r="I169" s="11" t="str">
        <f>VLOOKUP(C169,Hoja2!A:C,3,FALSE)</f>
        <v>cat7@artricenter.com.mx</v>
      </c>
    </row>
    <row r="170" spans="1:11" s="11" customFormat="1" ht="12.75" customHeight="1" thickBot="1" x14ac:dyDescent="0.25">
      <c r="A170" s="13"/>
      <c r="B170" s="3" t="e">
        <f t="shared" si="2"/>
        <v>#REF!</v>
      </c>
      <c r="C170" s="4" t="s">
        <v>132</v>
      </c>
      <c r="D170" s="16">
        <v>-5</v>
      </c>
      <c r="E170" s="18"/>
      <c r="G170" s="30">
        <f>D170-E170</f>
        <v>-5</v>
      </c>
      <c r="H170" s="11">
        <f>VLOOKUP(C170,Hoja2!A:B,2,FALSE)</f>
        <v>1313403</v>
      </c>
      <c r="I170" s="11" t="str">
        <f>VLOOKUP(C170,Hoja2!A:C,3,FALSE)</f>
        <v>4v21@artricenter.com.mx</v>
      </c>
    </row>
    <row r="171" spans="1:11" s="11" customFormat="1" ht="12.75" customHeight="1" thickBot="1" x14ac:dyDescent="0.25">
      <c r="A171" s="13"/>
      <c r="B171" s="3" t="e">
        <f t="shared" si="2"/>
        <v>#REF!</v>
      </c>
      <c r="C171" s="4" t="s">
        <v>81</v>
      </c>
      <c r="D171" s="16">
        <v>37</v>
      </c>
      <c r="E171" s="18"/>
      <c r="G171" s="30">
        <f>D171-E171</f>
        <v>37</v>
      </c>
      <c r="H171" s="11">
        <f>VLOOKUP(C171,Hoja2!A:B,2,FALSE)</f>
        <v>1111083</v>
      </c>
      <c r="I171" s="11" t="str">
        <f>VLOOKUP(C171,Hoja2!A:C,3,FALSE)</f>
        <v>2z8@artricenter.com.mx</v>
      </c>
    </row>
    <row r="172" spans="1:11" s="11" customFormat="1" ht="12.75" customHeight="1" thickBot="1" x14ac:dyDescent="0.25">
      <c r="A172" s="13"/>
      <c r="B172" s="3" t="e">
        <f t="shared" si="2"/>
        <v>#REF!</v>
      </c>
      <c r="C172" s="4" t="s">
        <v>82</v>
      </c>
      <c r="D172" s="16">
        <v>49</v>
      </c>
      <c r="E172" s="18"/>
      <c r="G172" s="30">
        <f>D172-E172</f>
        <v>49</v>
      </c>
      <c r="H172" s="11">
        <f>VLOOKUP(C172,Hoja2!A:B,2,FALSE)</f>
        <v>1629199</v>
      </c>
      <c r="I172" s="11" t="str">
        <f>VLOOKUP(C172,Hoja2!A:C,3,FALSE)</f>
        <v>11@grupolefarma.com.mx</v>
      </c>
    </row>
    <row r="173" spans="1:11" s="11" customFormat="1" ht="12.75" customHeight="1" thickBot="1" x14ac:dyDescent="0.25">
      <c r="A173" s="13"/>
      <c r="B173" s="3" t="e">
        <f t="shared" si="2"/>
        <v>#REF!</v>
      </c>
      <c r="C173" s="4" t="s">
        <v>193</v>
      </c>
      <c r="D173" s="16">
        <v>0</v>
      </c>
      <c r="E173" s="18"/>
      <c r="G173" s="30">
        <f>D173-E173</f>
        <v>0</v>
      </c>
      <c r="H173" s="11">
        <f>VLOOKUP(C173,Hoja2!A:B,2,FALSE)</f>
        <v>1310553</v>
      </c>
      <c r="I173" s="11" t="str">
        <f>VLOOKUP(C173,Hoja2!A:C,3,FALSE)</f>
        <v>4v7@artricenter.com.mx</v>
      </c>
    </row>
    <row r="174" spans="1:11" s="11" customFormat="1" ht="12.75" customHeight="1" thickBot="1" x14ac:dyDescent="0.25">
      <c r="A174" s="13"/>
      <c r="B174" s="3" t="e">
        <f t="shared" si="2"/>
        <v>#REF!</v>
      </c>
      <c r="C174" s="4" t="s">
        <v>83</v>
      </c>
      <c r="D174" s="16">
        <v>-4</v>
      </c>
      <c r="E174" s="18">
        <v>2</v>
      </c>
      <c r="G174" s="30">
        <f>D174-E174</f>
        <v>-6</v>
      </c>
      <c r="H174" s="11">
        <f>VLOOKUP(C174,Hoja2!A:B,2,FALSE)</f>
        <v>1015040</v>
      </c>
      <c r="I174" s="11" t="str">
        <f>VLOOKUP(C174,Hoja2!A:C,3,FALSE)</f>
        <v>cat5@artricenter.com.mx</v>
      </c>
    </row>
    <row r="175" spans="1:11" s="11" customFormat="1" ht="12.75" customHeight="1" thickBot="1" x14ac:dyDescent="0.25">
      <c r="A175" s="13"/>
      <c r="B175" s="3" t="e">
        <f t="shared" si="2"/>
        <v>#REF!</v>
      </c>
      <c r="C175" s="4" t="s">
        <v>368</v>
      </c>
      <c r="D175" s="16">
        <v>3</v>
      </c>
      <c r="E175" s="18"/>
      <c r="G175" s="30">
        <f>D175-E175</f>
        <v>3</v>
      </c>
      <c r="H175" s="11">
        <f>VLOOKUP(C175,Hoja2!A:B,2,FALSE)</f>
        <v>1211478</v>
      </c>
      <c r="I175" s="11" t="str">
        <f>VLOOKUP(C175,Hoja2!A:C,3,FALSE)</f>
        <v>4v14@artricenter.com.mx</v>
      </c>
      <c r="K175" s="4" t="s">
        <v>153</v>
      </c>
    </row>
    <row r="176" spans="1:11" s="11" customFormat="1" ht="12.75" customHeight="1" thickBot="1" x14ac:dyDescent="0.25">
      <c r="A176" s="13"/>
      <c r="B176" s="3" t="e">
        <f t="shared" si="2"/>
        <v>#REF!</v>
      </c>
      <c r="C176" s="4" t="s">
        <v>84</v>
      </c>
      <c r="D176" s="16">
        <v>15</v>
      </c>
      <c r="E176" s="18">
        <v>1</v>
      </c>
      <c r="G176" s="30">
        <f>D176-E176</f>
        <v>14</v>
      </c>
      <c r="H176" s="11">
        <f>VLOOKUP(C176,Hoja2!A:B,2,FALSE)</f>
        <v>1011006</v>
      </c>
      <c r="I176" s="11" t="str">
        <f>VLOOKUP(C176,Hoja2!A:C,3,FALSE)</f>
        <v>1r36@artricenter.com.mx</v>
      </c>
    </row>
    <row r="177" spans="1:11" s="11" customFormat="1" ht="12.75" hidden="1" customHeight="1" thickBot="1" x14ac:dyDescent="0.25">
      <c r="A177" s="13"/>
      <c r="B177" s="3" t="e">
        <f t="shared" si="2"/>
        <v>#REF!</v>
      </c>
      <c r="C177" s="4" t="s">
        <v>128</v>
      </c>
      <c r="D177" s="16">
        <v>11</v>
      </c>
      <c r="E177" s="18"/>
      <c r="G177" s="30">
        <f>D177-E177</f>
        <v>11</v>
      </c>
      <c r="H177" s="11" t="e">
        <f>VLOOKUP(C177,Hoja2!A:B,2,FALSE)</f>
        <v>#N/A</v>
      </c>
      <c r="I177" s="11" t="e">
        <f>VLOOKUP(C177,Hoja2!A:C,3,FALSE)</f>
        <v>#N/A</v>
      </c>
      <c r="K177" s="4" t="s">
        <v>440</v>
      </c>
    </row>
    <row r="178" spans="1:11" s="11" customFormat="1" ht="12.75" customHeight="1" thickBot="1" x14ac:dyDescent="0.25">
      <c r="A178" s="13"/>
      <c r="B178" s="3" t="e">
        <f t="shared" si="2"/>
        <v>#REF!</v>
      </c>
      <c r="C178" s="4" t="s">
        <v>85</v>
      </c>
      <c r="D178" s="16">
        <v>13</v>
      </c>
      <c r="E178" s="18"/>
      <c r="G178" s="30">
        <f>D178-E178</f>
        <v>13</v>
      </c>
      <c r="H178" s="11">
        <f>VLOOKUP(C178,Hoja2!A:B,2,FALSE)</f>
        <v>1212118</v>
      </c>
      <c r="I178" s="11" t="str">
        <f>VLOOKUP(C178,Hoja2!A:C,3,FALSE)</f>
        <v>3a12@artricenter.com.mx</v>
      </c>
    </row>
    <row r="179" spans="1:11" s="11" customFormat="1" ht="12.75" customHeight="1" thickBot="1" x14ac:dyDescent="0.25">
      <c r="A179" s="13"/>
      <c r="B179" s="3" t="e">
        <f t="shared" si="2"/>
        <v>#REF!</v>
      </c>
      <c r="C179" s="4" t="s">
        <v>140</v>
      </c>
      <c r="D179" s="16">
        <v>0</v>
      </c>
      <c r="E179" s="18"/>
      <c r="G179" s="30">
        <f>D179-E179</f>
        <v>0</v>
      </c>
      <c r="H179" s="11">
        <f>VLOOKUP(C179,Hoja2!A:B,2,FALSE)</f>
        <v>1123432</v>
      </c>
      <c r="I179" s="11" t="str">
        <f>VLOOKUP(C179,Hoja2!A:C,3,FALSE)</f>
        <v>1cm3@construmedika.com</v>
      </c>
    </row>
    <row r="180" spans="1:11" s="11" customFormat="1" ht="12.75" customHeight="1" thickBot="1" x14ac:dyDescent="0.25">
      <c r="A180" s="13"/>
      <c r="B180" s="3" t="e">
        <f t="shared" si="2"/>
        <v>#REF!</v>
      </c>
      <c r="C180" s="5" t="s">
        <v>86</v>
      </c>
      <c r="D180" s="16">
        <v>136</v>
      </c>
      <c r="E180" s="18"/>
      <c r="G180" s="30">
        <f>D180-E180</f>
        <v>136</v>
      </c>
      <c r="H180" s="11">
        <f>VLOOKUP(C180,Hoja2!A:B,2,FALSE)</f>
        <v>1123187</v>
      </c>
      <c r="I180" s="11" t="str">
        <f>VLOOKUP(C180,Hoja2!A:C,3,FALSE)</f>
        <v>1cm900@construmedika.com</v>
      </c>
    </row>
    <row r="181" spans="1:11" s="11" customFormat="1" ht="12.75" customHeight="1" thickBot="1" x14ac:dyDescent="0.25">
      <c r="A181" s="13"/>
      <c r="B181" s="3" t="e">
        <f t="shared" si="2"/>
        <v>#REF!</v>
      </c>
      <c r="C181" s="5" t="s">
        <v>87</v>
      </c>
      <c r="D181" s="16">
        <v>189</v>
      </c>
      <c r="E181" s="18">
        <v>1</v>
      </c>
      <c r="G181" s="30">
        <f>D181-E181</f>
        <v>188</v>
      </c>
      <c r="H181" s="11">
        <f>VLOOKUP(C181,Hoja2!A:B,2,FALSE)</f>
        <v>1123186</v>
      </c>
      <c r="I181" s="11" t="str">
        <f>VLOOKUP(C181,Hoja2!A:C,3,FALSE)</f>
        <v>1cm2@construmedika.com</v>
      </c>
    </row>
    <row r="182" spans="1:11" s="11" customFormat="1" ht="12.75" customHeight="1" thickBot="1" x14ac:dyDescent="0.25">
      <c r="A182" s="13"/>
      <c r="B182" s="3" t="e">
        <f t="shared" si="2"/>
        <v>#REF!</v>
      </c>
      <c r="C182" s="4" t="s">
        <v>89</v>
      </c>
      <c r="D182" s="16">
        <v>27</v>
      </c>
      <c r="E182" s="18"/>
      <c r="G182" s="30">
        <f>D182-E182</f>
        <v>27</v>
      </c>
      <c r="H182" s="11">
        <f>VLOOKUP(C182,Hoja2!A:B,2,FALSE)</f>
        <v>1123191</v>
      </c>
      <c r="I182" s="11" t="str">
        <f>VLOOKUP(C182,Hoja2!A:C,3,FALSE)</f>
        <v>1cm904@construmedika.com</v>
      </c>
    </row>
    <row r="183" spans="1:11" s="11" customFormat="1" ht="12.75" customHeight="1" thickBot="1" x14ac:dyDescent="0.25">
      <c r="A183" s="13"/>
      <c r="B183" s="3" t="e">
        <f t="shared" si="2"/>
        <v>#REF!</v>
      </c>
      <c r="C183" s="4" t="s">
        <v>90</v>
      </c>
      <c r="D183" s="16">
        <v>7</v>
      </c>
      <c r="E183" s="18"/>
      <c r="G183" s="30">
        <f>D183-E183</f>
        <v>7</v>
      </c>
      <c r="H183" s="11">
        <f>VLOOKUP(C183,Hoja2!A:B,2,FALSE)</f>
        <v>1211113</v>
      </c>
      <c r="I183" s="11" t="str">
        <f>VLOOKUP(C183,Hoja2!A:C,3,FALSE)</f>
        <v>3a18@artricenter.com.mx</v>
      </c>
    </row>
    <row r="184" spans="1:11" s="11" customFormat="1" ht="12.75" hidden="1" customHeight="1" thickBot="1" x14ac:dyDescent="0.25">
      <c r="A184" s="13"/>
      <c r="B184" s="3" t="e">
        <f t="shared" si="2"/>
        <v>#REF!</v>
      </c>
      <c r="C184" s="4" t="s">
        <v>109</v>
      </c>
      <c r="D184" s="16">
        <v>5</v>
      </c>
      <c r="E184" s="18"/>
      <c r="G184" s="30">
        <f>D184-E184</f>
        <v>5</v>
      </c>
      <c r="H184" s="11" t="e">
        <f>VLOOKUP(C184,Hoja2!A:B,2,FALSE)</f>
        <v>#N/A</v>
      </c>
      <c r="I184" s="11" t="e">
        <f>VLOOKUP(C184,Hoja2!A:C,3,FALSE)</f>
        <v>#N/A</v>
      </c>
      <c r="K184" s="11" t="s">
        <v>440</v>
      </c>
    </row>
    <row r="185" spans="1:11" s="11" customFormat="1" ht="12.75" customHeight="1" thickBot="1" x14ac:dyDescent="0.25">
      <c r="A185" s="13"/>
      <c r="B185" s="3" t="e">
        <f t="shared" si="2"/>
        <v>#REF!</v>
      </c>
      <c r="C185" s="4" t="s">
        <v>152</v>
      </c>
      <c r="D185" s="16">
        <v>2</v>
      </c>
      <c r="E185" s="18">
        <v>1</v>
      </c>
      <c r="G185" s="30">
        <f>D185-E185</f>
        <v>1</v>
      </c>
      <c r="H185" s="11">
        <f>VLOOKUP(C185,Hoja2!A:B,2,FALSE)</f>
        <v>1310476</v>
      </c>
      <c r="I185" s="11" t="str">
        <f>VLOOKUP(C185,Hoja2!A:C,3,FALSE)</f>
        <v>4v901@artricenter.com.mx</v>
      </c>
    </row>
    <row r="186" spans="1:11" s="11" customFormat="1" ht="12.75" customHeight="1" thickBot="1" x14ac:dyDescent="0.25">
      <c r="A186" s="13"/>
      <c r="B186" s="3" t="e">
        <f t="shared" si="2"/>
        <v>#REF!</v>
      </c>
      <c r="C186" s="4" t="s">
        <v>91</v>
      </c>
      <c r="D186" s="16">
        <v>57</v>
      </c>
      <c r="E186" s="18"/>
      <c r="G186" s="30">
        <f>D186-E186</f>
        <v>57</v>
      </c>
      <c r="H186" s="11">
        <f>VLOOKUP(C186,Hoja2!A:B,2,FALSE)</f>
        <v>1111089</v>
      </c>
      <c r="I186" s="11" t="str">
        <f>VLOOKUP(C186,Hoja2!A:C,3,FALSE)</f>
        <v>4v13@artricenter.com.mx</v>
      </c>
    </row>
    <row r="187" spans="1:11" s="11" customFormat="1" ht="12.75" hidden="1" customHeight="1" thickBot="1" x14ac:dyDescent="0.25">
      <c r="A187" s="13"/>
      <c r="B187" s="3" t="e">
        <f t="shared" si="2"/>
        <v>#REF!</v>
      </c>
      <c r="C187" s="4" t="s">
        <v>197</v>
      </c>
      <c r="D187" s="16">
        <v>0</v>
      </c>
      <c r="E187" s="18"/>
      <c r="G187" s="30">
        <f>D187-E187</f>
        <v>0</v>
      </c>
      <c r="H187" s="11" t="e">
        <f>VLOOKUP(C187,Hoja2!A:B,2,FALSE)</f>
        <v>#N/A</v>
      </c>
      <c r="I187" s="11" t="e">
        <f>VLOOKUP(C187,Hoja2!A:C,3,FALSE)</f>
        <v>#N/A</v>
      </c>
      <c r="K187" s="11" t="s">
        <v>440</v>
      </c>
    </row>
    <row r="188" spans="1:11" s="11" customFormat="1" ht="12.75" hidden="1" customHeight="1" thickBot="1" x14ac:dyDescent="0.25">
      <c r="A188" s="13"/>
      <c r="B188" s="3" t="e">
        <f t="shared" si="2"/>
        <v>#REF!</v>
      </c>
      <c r="C188" s="4" t="s">
        <v>190</v>
      </c>
      <c r="D188" s="16">
        <v>0</v>
      </c>
      <c r="E188" s="18"/>
      <c r="G188" s="30">
        <f>D188-E188</f>
        <v>0</v>
      </c>
      <c r="H188" s="11" t="e">
        <f>VLOOKUP(C188,Hoja2!A:B,2,FALSE)</f>
        <v>#N/A</v>
      </c>
      <c r="I188" s="11" t="e">
        <f>VLOOKUP(C188,Hoja2!A:C,3,FALSE)</f>
        <v>#N/A</v>
      </c>
      <c r="K188" s="11" t="s">
        <v>440</v>
      </c>
    </row>
    <row r="189" spans="1:11" s="11" customFormat="1" ht="12.75" customHeight="1" thickBot="1" x14ac:dyDescent="0.25">
      <c r="A189" s="13"/>
      <c r="B189" s="3" t="e">
        <f t="shared" si="2"/>
        <v>#REF!</v>
      </c>
      <c r="C189" s="4" t="s">
        <v>198</v>
      </c>
      <c r="D189" s="16">
        <v>0</v>
      </c>
      <c r="E189" s="18"/>
      <c r="G189" s="30">
        <f>D189-E189</f>
        <v>0</v>
      </c>
      <c r="H189" s="11">
        <f>VLOOKUP(C189,Hoja2!A:B,2,FALSE)</f>
        <v>1013562</v>
      </c>
      <c r="I189" s="11" t="str">
        <f>VLOOKUP(C189,Hoja2!A:C,3,FALSE)</f>
        <v>r6@artricenter.com.mx</v>
      </c>
    </row>
    <row r="190" spans="1:11" s="11" customFormat="1" ht="12.75" customHeight="1" thickBot="1" x14ac:dyDescent="0.25">
      <c r="A190" s="13"/>
      <c r="B190" s="3" t="e">
        <f t="shared" si="2"/>
        <v>#REF!</v>
      </c>
      <c r="C190" s="4" t="s">
        <v>131</v>
      </c>
      <c r="D190" s="16">
        <v>-3</v>
      </c>
      <c r="E190" s="18">
        <v>2</v>
      </c>
      <c r="G190" s="30">
        <f>D190-E190</f>
        <v>-5</v>
      </c>
      <c r="H190" s="11">
        <f>VLOOKUP(C190,Hoja2!A:B,2,FALSE)</f>
        <v>1013405</v>
      </c>
      <c r="I190" s="11" t="str">
        <f>VLOOKUP(C190,Hoja2!A:C,3,FALSE)</f>
        <v>cat8@artricenter.com.mx</v>
      </c>
    </row>
    <row r="191" spans="1:11" s="11" customFormat="1" ht="12.75" customHeight="1" thickBot="1" x14ac:dyDescent="0.25">
      <c r="A191" s="13"/>
      <c r="B191" s="3" t="e">
        <f t="shared" si="2"/>
        <v>#REF!</v>
      </c>
      <c r="C191" s="4" t="s">
        <v>95</v>
      </c>
      <c r="D191" s="16">
        <v>6</v>
      </c>
      <c r="E191" s="18">
        <v>2</v>
      </c>
      <c r="G191" s="30">
        <f>D191-E191</f>
        <v>4</v>
      </c>
      <c r="H191" s="11">
        <f>VLOOKUP(C191,Hoja2!A:B,2,FALSE)</f>
        <v>1210106</v>
      </c>
      <c r="I191" s="11" t="str">
        <f>VLOOKUP(C191,Hoja2!A:C,3,FALSE)</f>
        <v>3a23@artricenter.com.mx</v>
      </c>
    </row>
    <row r="192" spans="1:11" s="11" customFormat="1" ht="12.75" customHeight="1" thickBot="1" x14ac:dyDescent="0.25">
      <c r="A192" s="13"/>
      <c r="B192" s="3" t="e">
        <f t="shared" si="2"/>
        <v>#REF!</v>
      </c>
      <c r="C192" s="4" t="s">
        <v>96</v>
      </c>
      <c r="D192" s="16">
        <v>2</v>
      </c>
      <c r="E192" s="18">
        <v>1</v>
      </c>
      <c r="G192" s="30">
        <f>D192-E192</f>
        <v>1</v>
      </c>
      <c r="H192" s="11">
        <f>VLOOKUP(C192,Hoja2!A:B,2,FALSE)</f>
        <v>1012067</v>
      </c>
      <c r="I192" s="11" t="str">
        <f>VLOOKUP(C192,Hoja2!A:C,3,FALSE)</f>
        <v>1r22@artricenter.com.mx</v>
      </c>
    </row>
    <row r="193" spans="1:11" s="11" customFormat="1" ht="12.75" hidden="1" customHeight="1" thickBot="1" x14ac:dyDescent="0.25">
      <c r="A193" s="13"/>
      <c r="B193" s="3" t="e">
        <f t="shared" si="2"/>
        <v>#REF!</v>
      </c>
      <c r="C193" s="4" t="s">
        <v>162</v>
      </c>
      <c r="D193" s="16">
        <v>-9</v>
      </c>
      <c r="E193" s="18"/>
      <c r="G193" s="30">
        <f>D193-E193</f>
        <v>-9</v>
      </c>
      <c r="H193" s="11" t="e">
        <f>VLOOKUP(C193,Hoja2!A:B,2,FALSE)</f>
        <v>#N/A</v>
      </c>
      <c r="I193" s="11" t="e">
        <f>VLOOKUP(C193,Hoja2!A:C,3,FALSE)</f>
        <v>#N/A</v>
      </c>
      <c r="K193" s="11" t="s">
        <v>440</v>
      </c>
    </row>
    <row r="194" spans="1:11" s="11" customFormat="1" ht="12.75" customHeight="1" thickBot="1" x14ac:dyDescent="0.25">
      <c r="A194" s="13"/>
      <c r="B194" s="3" t="e">
        <f t="shared" si="2"/>
        <v>#REF!</v>
      </c>
      <c r="C194" s="4" t="s">
        <v>129</v>
      </c>
      <c r="D194" s="16">
        <v>0</v>
      </c>
      <c r="E194" s="18"/>
      <c r="G194" s="30">
        <f>D194-E194</f>
        <v>0</v>
      </c>
      <c r="H194" s="11">
        <f>VLOOKUP(C194,Hoja2!A:B,2,FALSE)</f>
        <v>1427385</v>
      </c>
      <c r="I194" s="11" t="str">
        <f>VLOOKUP(C194,Hoja2!A:C,3,FALSE)</f>
        <v>3@grupolefarma.com.mx</v>
      </c>
    </row>
    <row r="195" spans="1:11" s="11" customFormat="1" ht="12.75" customHeight="1" thickBot="1" x14ac:dyDescent="0.25">
      <c r="A195" s="13"/>
      <c r="B195" s="3" t="e">
        <f t="shared" si="2"/>
        <v>#REF!</v>
      </c>
      <c r="C195" s="4" t="s">
        <v>166</v>
      </c>
      <c r="D195" s="16">
        <v>-9</v>
      </c>
      <c r="E195" s="18"/>
      <c r="G195" s="30">
        <f>D195-E195</f>
        <v>-9</v>
      </c>
      <c r="H195" s="11">
        <f>VLOOKUP(C195,Hoja2!A:B,2,FALSE)</f>
        <v>1311510</v>
      </c>
      <c r="I195" s="11" t="str">
        <f>VLOOKUP(C195,Hoja2!A:C,3,FALSE)</f>
        <v>4v19@artricenter.com.mx</v>
      </c>
    </row>
    <row r="196" spans="1:11" s="11" customFormat="1" ht="12.75" customHeight="1" thickBot="1" x14ac:dyDescent="0.25">
      <c r="A196" s="13"/>
      <c r="B196" s="3" t="e">
        <f t="shared" si="2"/>
        <v>#REF!</v>
      </c>
      <c r="C196" s="4" t="s">
        <v>97</v>
      </c>
      <c r="D196" s="16">
        <v>12</v>
      </c>
      <c r="E196" s="18"/>
      <c r="G196" s="30">
        <f>D196-E196</f>
        <v>12</v>
      </c>
      <c r="H196" s="11">
        <f>VLOOKUP(C196,Hoja2!A:B,2,FALSE)</f>
        <v>1123184</v>
      </c>
      <c r="I196" s="11" t="str">
        <f>VLOOKUP(C196,Hoja2!A:C,3,FALSE)</f>
        <v>1cm5@construmedika.com</v>
      </c>
    </row>
    <row r="197" spans="1:11" s="11" customFormat="1" ht="12.75" customHeight="1" thickBot="1" x14ac:dyDescent="0.25">
      <c r="A197" s="13"/>
      <c r="B197" s="3" t="e">
        <f t="shared" ref="B197:B200" si="3">+B196+1</f>
        <v>#REF!</v>
      </c>
      <c r="C197" s="4" t="s">
        <v>98</v>
      </c>
      <c r="D197" s="16">
        <v>40</v>
      </c>
      <c r="E197" s="18"/>
      <c r="G197" s="30">
        <f>D197-E197</f>
        <v>40</v>
      </c>
      <c r="H197" s="11">
        <f>VLOOKUP(C197,Hoja2!A:B,2,FALSE)</f>
        <v>1127216</v>
      </c>
      <c r="I197" s="11" t="str">
        <f>VLOOKUP(C197,Hoja2!A:C,3,FALSE)</f>
        <v>26@grupolefarma.com.mx</v>
      </c>
    </row>
    <row r="198" spans="1:11" s="11" customFormat="1" ht="12.75" customHeight="1" thickBot="1" x14ac:dyDescent="0.25">
      <c r="A198" s="13"/>
      <c r="B198" s="3" t="e">
        <f t="shared" si="3"/>
        <v>#REF!</v>
      </c>
      <c r="C198" s="4" t="s">
        <v>99</v>
      </c>
      <c r="D198" s="16">
        <v>45</v>
      </c>
      <c r="E198" s="18">
        <v>3</v>
      </c>
      <c r="G198" s="30">
        <f>D198-E198</f>
        <v>42</v>
      </c>
      <c r="H198" s="11">
        <f>VLOOKUP(C198,Hoja2!A:B,2,FALSE)</f>
        <v>1123189</v>
      </c>
      <c r="I198" s="11" t="str">
        <f>VLOOKUP(C198,Hoja2!A:C,3,FALSE)</f>
        <v>1cm902@construmedika.com</v>
      </c>
    </row>
    <row r="199" spans="1:11" s="11" customFormat="1" ht="12.75" customHeight="1" thickBot="1" x14ac:dyDescent="0.25">
      <c r="A199" s="13"/>
      <c r="B199" s="3" t="e">
        <f t="shared" si="3"/>
        <v>#REF!</v>
      </c>
      <c r="C199" s="4" t="s">
        <v>158</v>
      </c>
      <c r="D199" s="16">
        <v>-11</v>
      </c>
      <c r="E199" s="18"/>
      <c r="G199" s="30">
        <f>D199-E199</f>
        <v>-11</v>
      </c>
      <c r="H199" s="11">
        <f>VLOOKUP(C199,Hoja2!A:B,2,FALSE)</f>
        <v>1313493</v>
      </c>
      <c r="I199" s="11" t="str">
        <f>VLOOKUP(C199,Hoja2!A:C,3,FALSE)</f>
        <v>4v32@artricenter.com.mx</v>
      </c>
    </row>
    <row r="200" spans="1:11" s="11" customFormat="1" ht="12.75" hidden="1" customHeight="1" thickBot="1" x14ac:dyDescent="0.25">
      <c r="A200" s="13"/>
      <c r="B200" s="3" t="e">
        <f t="shared" si="3"/>
        <v>#REF!</v>
      </c>
      <c r="C200" s="4" t="s">
        <v>136</v>
      </c>
      <c r="D200" s="16">
        <v>2</v>
      </c>
      <c r="E200" s="18"/>
      <c r="G200" s="30">
        <f>D200-E200</f>
        <v>2</v>
      </c>
      <c r="H200" s="11" t="e">
        <f>VLOOKUP(C200,Hoja2!A:B,2,FALSE)</f>
        <v>#N/A</v>
      </c>
      <c r="I200" s="11" t="e">
        <f>VLOOKUP(C200,Hoja2!A:C,3,FALSE)</f>
        <v>#N/A</v>
      </c>
      <c r="K200" s="11" t="s">
        <v>440</v>
      </c>
    </row>
    <row r="201" spans="1:11" s="11" customFormat="1" ht="12.75" customHeight="1" thickBot="1" x14ac:dyDescent="0.25">
      <c r="A201" s="13"/>
      <c r="B201" s="3" t="e">
        <f>+B200+1</f>
        <v>#REF!</v>
      </c>
      <c r="C201" s="4" t="s">
        <v>201</v>
      </c>
      <c r="D201" s="16">
        <v>0</v>
      </c>
      <c r="E201" s="18"/>
      <c r="G201" s="30">
        <f>D201-E201</f>
        <v>0</v>
      </c>
      <c r="H201" s="11">
        <f>VLOOKUP(C201,Hoja2!A:B,2,FALSE)</f>
        <v>1213567</v>
      </c>
      <c r="I201" s="11" t="str">
        <f>VLOOKUP(C201,Hoja2!A:C,3,FALSE)</f>
        <v>3a902@artricenter.com.mx</v>
      </c>
    </row>
    <row r="202" spans="1:11" s="11" customFormat="1" ht="12.75" customHeight="1" thickBot="1" x14ac:dyDescent="0.25">
      <c r="A202" s="13"/>
      <c r="B202" s="6" t="e">
        <f>+B201+1</f>
        <v>#REF!</v>
      </c>
      <c r="C202" s="9" t="s">
        <v>102</v>
      </c>
      <c r="D202" s="17">
        <v>7</v>
      </c>
      <c r="E202" s="18">
        <v>3</v>
      </c>
      <c r="G202" s="30">
        <f>D202-E202</f>
        <v>4</v>
      </c>
      <c r="H202" s="11">
        <f>VLOOKUP(C202,Hoja2!A:B,2,FALSE)</f>
        <v>1313127</v>
      </c>
      <c r="I202" s="11" t="str">
        <f>VLOOKUP(C202,Hoja2!A:C,3,FALSE)</f>
        <v>3a1@artricenter.com.mx</v>
      </c>
    </row>
  </sheetData>
  <autoFilter ref="A2:L202" xr:uid="{00000000-0001-0000-0100-000000000000}">
    <filterColumn colId="7">
      <filters>
        <filter val="1010361"/>
        <filter val="1010475"/>
        <filter val="1010565"/>
        <filter val="1011006"/>
        <filter val="1011065"/>
        <filter val="1011425"/>
        <filter val="1011509"/>
        <filter val="1011526"/>
        <filter val="1011529"/>
        <filter val="1012003"/>
        <filter val="1012057"/>
        <filter val="1012066"/>
        <filter val="1012067"/>
        <filter val="1012413"/>
        <filter val="1013010"/>
        <filter val="1013291"/>
        <filter val="1013405"/>
        <filter val="1013469"/>
        <filter val="1013525"/>
        <filter val="1013562"/>
        <filter val="1015029"/>
        <filter val="1015034"/>
        <filter val="1015035"/>
        <filter val="1015040"/>
        <filter val="1015041"/>
        <filter val="1015424"/>
        <filter val="1015504"/>
        <filter val="1023243"/>
        <filter val="1028071"/>
        <filter val="1028122"/>
        <filter val="1028124"/>
        <filter val="1028379"/>
        <filter val="1029068"/>
        <filter val="1029431"/>
        <filter val="1110075"/>
        <filter val="1111074"/>
        <filter val="1111083"/>
        <filter val="1111084"/>
        <filter val="1111086"/>
        <filter val="1111088"/>
        <filter val="1111089"/>
        <filter val="1112091"/>
        <filter val="1112094"/>
        <filter val="1113014"/>
        <filter val="1113217"/>
        <filter val="1114042"/>
        <filter val="1114043"/>
        <filter val="1114050"/>
        <filter val="1114323"/>
        <filter val="1114446"/>
        <filter val="1114558"/>
        <filter val="1123184"/>
        <filter val="1123185"/>
        <filter val="1123186"/>
        <filter val="1123187"/>
        <filter val="1123188"/>
        <filter val="1123189"/>
        <filter val="1123190"/>
        <filter val="1123191"/>
        <filter val="1123192"/>
        <filter val="1123432"/>
        <filter val="1123473"/>
        <filter val="1123570"/>
        <filter val="1127214"/>
        <filter val="1127216"/>
        <filter val="1128095"/>
        <filter val="1128096"/>
        <filter val="1128098"/>
        <filter val="1128195"/>
        <filter val="1132218"/>
        <filter val="1210103"/>
        <filter val="1210106"/>
        <filter val="1210108"/>
        <filter val="1210512"/>
        <filter val="1210555"/>
        <filter val="1211101"/>
        <filter val="1211109"/>
        <filter val="1211110"/>
        <filter val="1211113"/>
        <filter val="1211391"/>
        <filter val="1211452"/>
        <filter val="1211478"/>
        <filter val="1211518"/>
        <filter val="1212105"/>
        <filter val="1212118"/>
        <filter val="1212119"/>
        <filter val="1213020"/>
        <filter val="1213567"/>
        <filter val="1214449"/>
        <filter val="1228126"/>
        <filter val="1228457"/>
        <filter val="1228509"/>
        <filter val="1310315"/>
        <filter val="1310476"/>
        <filter val="1310511"/>
        <filter val="1310536"/>
        <filter val="1310553"/>
        <filter val="1310559"/>
        <filter val="1311129"/>
        <filter val="1311142"/>
        <filter val="1311510"/>
        <filter val="1311569"/>
        <filter val="1313023"/>
        <filter val="1313026"/>
        <filter val="1313127"/>
        <filter val="1313403"/>
        <filter val="1313493"/>
        <filter val="1328146"/>
        <filter val="1328221"/>
        <filter val="1328348"/>
        <filter val="1414298"/>
        <filter val="1414324"/>
        <filter val="1416463"/>
        <filter val="1416466"/>
        <filter val="1417152"/>
        <filter val="1417301"/>
        <filter val="1417306"/>
        <filter val="1417414"/>
        <filter val="1417479"/>
        <filter val="1417499"/>
        <filter val="1417563"/>
        <filter val="1418177"/>
        <filter val="1418286"/>
        <filter val="1418528"/>
        <filter val="1418532"/>
        <filter val="1418544"/>
        <filter val="1418566"/>
        <filter val="1419172"/>
        <filter val="1420154"/>
        <filter val="1420155"/>
        <filter val="1420159"/>
        <filter val="1420472"/>
        <filter val="1420484"/>
        <filter val="1420549"/>
        <filter val="1421162"/>
        <filter val="1421163"/>
        <filter val="1421164"/>
        <filter val="1421167"/>
        <filter val="1422148"/>
        <filter val="1422149"/>
        <filter val="1422153"/>
        <filter val="1422180"/>
        <filter val="1427385"/>
        <filter val="1427524"/>
        <filter val="1428179"/>
        <filter val="1428295"/>
        <filter val="1429483"/>
        <filter val="1430274"/>
        <filter val="1524226"/>
        <filter val="1524227"/>
        <filter val="1524228"/>
        <filter val="1524389"/>
        <filter val="1524412"/>
        <filter val="1525230"/>
        <filter val="1525231"/>
        <filter val="1525232"/>
        <filter val="1526222"/>
        <filter val="1526223"/>
        <filter val="1526224"/>
        <filter val="1526292"/>
        <filter val="1526406"/>
        <filter val="1526537"/>
        <filter val="1528219"/>
        <filter val="1528220"/>
        <filter val="1528247"/>
        <filter val="1528340"/>
        <filter val="1528494"/>
        <filter val="1528511"/>
        <filter val="1528516"/>
        <filter val="1530211"/>
        <filter val="1530342"/>
        <filter val="1530368"/>
        <filter val="1530490"/>
        <filter val="1530519"/>
        <filter val="1627181"/>
        <filter val="1627212"/>
        <filter val="1629072"/>
        <filter val="1629097"/>
        <filter val="1629197"/>
        <filter val="1629198"/>
        <filter val="1629199"/>
        <filter val="1629200"/>
        <filter val="1629309"/>
        <filter val="1631235"/>
        <filter val="1631236"/>
      </filters>
    </filterColumn>
  </autoFilter>
  <sortState xmlns:xlrd2="http://schemas.microsoft.com/office/spreadsheetml/2017/richdata2" ref="A66:AD202">
    <sortCondition ref="C66:C202"/>
  </sortState>
  <mergeCells count="4">
    <mergeCell ref="E1:E2"/>
    <mergeCell ref="B1:B2"/>
    <mergeCell ref="C1:C2"/>
    <mergeCell ref="D1:D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2CB0-AFF4-4209-997F-D10B64A22E73}">
  <dimension ref="A1:C209"/>
  <sheetViews>
    <sheetView topLeftCell="A20" workbookViewId="0">
      <selection activeCell="A33" sqref="A33"/>
    </sheetView>
  </sheetViews>
  <sheetFormatPr baseColWidth="10" defaultRowHeight="15" x14ac:dyDescent="0.25"/>
  <cols>
    <col min="1" max="1" width="42" bestFit="1" customWidth="1"/>
  </cols>
  <sheetData>
    <row r="1" spans="1:3" x14ac:dyDescent="0.25">
      <c r="A1" t="s">
        <v>205</v>
      </c>
      <c r="B1" t="s">
        <v>206</v>
      </c>
      <c r="C1" t="s">
        <v>207</v>
      </c>
    </row>
    <row r="2" spans="1:3" x14ac:dyDescent="0.25">
      <c r="A2" t="s">
        <v>21</v>
      </c>
      <c r="B2">
        <v>1629200</v>
      </c>
      <c r="C2" t="s">
        <v>208</v>
      </c>
    </row>
    <row r="3" spans="1:3" x14ac:dyDescent="0.25">
      <c r="A3" t="s">
        <v>16</v>
      </c>
      <c r="B3">
        <v>1417152</v>
      </c>
      <c r="C3" t="s">
        <v>209</v>
      </c>
    </row>
    <row r="4" spans="1:3" x14ac:dyDescent="0.25">
      <c r="A4" t="s">
        <v>103</v>
      </c>
      <c r="B4">
        <v>1418177</v>
      </c>
      <c r="C4" t="s">
        <v>210</v>
      </c>
    </row>
    <row r="5" spans="1:3" x14ac:dyDescent="0.25">
      <c r="A5" t="s">
        <v>94</v>
      </c>
      <c r="B5">
        <v>1419172</v>
      </c>
      <c r="C5" t="s">
        <v>211</v>
      </c>
    </row>
    <row r="6" spans="1:3" x14ac:dyDescent="0.25">
      <c r="A6" t="s">
        <v>75</v>
      </c>
      <c r="B6">
        <v>1422149</v>
      </c>
      <c r="C6" t="s">
        <v>212</v>
      </c>
    </row>
    <row r="7" spans="1:3" x14ac:dyDescent="0.25">
      <c r="A7" t="s">
        <v>55</v>
      </c>
      <c r="B7">
        <v>1422153</v>
      </c>
      <c r="C7" t="s">
        <v>213</v>
      </c>
    </row>
    <row r="8" spans="1:3" x14ac:dyDescent="0.25">
      <c r="A8" t="s">
        <v>92</v>
      </c>
      <c r="B8">
        <v>1422180</v>
      </c>
      <c r="C8" t="s">
        <v>214</v>
      </c>
    </row>
    <row r="9" spans="1:3" x14ac:dyDescent="0.25">
      <c r="A9" t="s">
        <v>88</v>
      </c>
      <c r="B9">
        <v>1428179</v>
      </c>
      <c r="C9" t="s">
        <v>215</v>
      </c>
    </row>
    <row r="10" spans="1:3" x14ac:dyDescent="0.25">
      <c r="A10" t="s">
        <v>41</v>
      </c>
      <c r="B10">
        <v>1627181</v>
      </c>
      <c r="C10" t="s">
        <v>216</v>
      </c>
    </row>
    <row r="11" spans="1:3" x14ac:dyDescent="0.25">
      <c r="A11" t="s">
        <v>35</v>
      </c>
      <c r="B11">
        <v>1627212</v>
      </c>
      <c r="C11" t="s">
        <v>217</v>
      </c>
    </row>
    <row r="12" spans="1:3" x14ac:dyDescent="0.25">
      <c r="A12" t="s">
        <v>49</v>
      </c>
      <c r="B12">
        <v>1422148</v>
      </c>
      <c r="C12" t="s">
        <v>218</v>
      </c>
    </row>
    <row r="13" spans="1:3" x14ac:dyDescent="0.25">
      <c r="A13" t="s">
        <v>98</v>
      </c>
      <c r="B13">
        <v>1127216</v>
      </c>
      <c r="C13" t="s">
        <v>219</v>
      </c>
    </row>
    <row r="14" spans="1:3" x14ac:dyDescent="0.25">
      <c r="A14" t="s">
        <v>107</v>
      </c>
      <c r="B14">
        <v>1418286</v>
      </c>
      <c r="C14" t="s">
        <v>220</v>
      </c>
    </row>
    <row r="15" spans="1:3" x14ac:dyDescent="0.25">
      <c r="A15" t="s">
        <v>89</v>
      </c>
      <c r="B15">
        <v>1123191</v>
      </c>
      <c r="C15" t="s">
        <v>221</v>
      </c>
    </row>
    <row r="16" spans="1:3" x14ac:dyDescent="0.25">
      <c r="A16" t="s">
        <v>30</v>
      </c>
      <c r="B16">
        <v>1123190</v>
      </c>
      <c r="C16" t="s">
        <v>222</v>
      </c>
    </row>
    <row r="17" spans="1:3" x14ac:dyDescent="0.25">
      <c r="A17" t="s">
        <v>99</v>
      </c>
      <c r="B17">
        <v>1123189</v>
      </c>
      <c r="C17" t="s">
        <v>223</v>
      </c>
    </row>
    <row r="18" spans="1:3" x14ac:dyDescent="0.25">
      <c r="A18" t="s">
        <v>224</v>
      </c>
      <c r="B18">
        <v>1414324</v>
      </c>
      <c r="C18" t="s">
        <v>225</v>
      </c>
    </row>
    <row r="19" spans="1:3" x14ac:dyDescent="0.25">
      <c r="A19" t="s">
        <v>26</v>
      </c>
      <c r="B19">
        <v>1524226</v>
      </c>
      <c r="C19" t="s">
        <v>226</v>
      </c>
    </row>
    <row r="20" spans="1:3" x14ac:dyDescent="0.25">
      <c r="A20" t="s">
        <v>19</v>
      </c>
      <c r="B20">
        <v>1524227</v>
      </c>
      <c r="C20" t="s">
        <v>227</v>
      </c>
    </row>
    <row r="21" spans="1:3" x14ac:dyDescent="0.25">
      <c r="A21" t="s">
        <v>228</v>
      </c>
      <c r="B21">
        <v>1524228</v>
      </c>
      <c r="C21" t="s">
        <v>229</v>
      </c>
    </row>
    <row r="22" spans="1:3" x14ac:dyDescent="0.25">
      <c r="A22" t="s">
        <v>7</v>
      </c>
      <c r="B22">
        <v>1525230</v>
      </c>
      <c r="C22" t="s">
        <v>230</v>
      </c>
    </row>
    <row r="23" spans="1:3" x14ac:dyDescent="0.25">
      <c r="A23" t="s">
        <v>3</v>
      </c>
      <c r="B23">
        <v>1525231</v>
      </c>
      <c r="C23" t="s">
        <v>231</v>
      </c>
    </row>
    <row r="24" spans="1:3" x14ac:dyDescent="0.25">
      <c r="A24" t="s">
        <v>37</v>
      </c>
      <c r="B24">
        <v>1525232</v>
      </c>
      <c r="C24" t="s">
        <v>232</v>
      </c>
    </row>
    <row r="25" spans="1:3" x14ac:dyDescent="0.25">
      <c r="A25" t="s">
        <v>93</v>
      </c>
      <c r="B25">
        <v>1526222</v>
      </c>
      <c r="C25" t="s">
        <v>233</v>
      </c>
    </row>
    <row r="26" spans="1:3" x14ac:dyDescent="0.25">
      <c r="A26" t="s">
        <v>15</v>
      </c>
      <c r="B26">
        <v>1526224</v>
      </c>
      <c r="C26" t="s">
        <v>234</v>
      </c>
    </row>
    <row r="27" spans="1:3" x14ac:dyDescent="0.25">
      <c r="A27" t="s">
        <v>23</v>
      </c>
      <c r="B27">
        <v>1530211</v>
      </c>
      <c r="C27" t="s">
        <v>235</v>
      </c>
    </row>
    <row r="28" spans="1:3" x14ac:dyDescent="0.25">
      <c r="A28" t="s">
        <v>13</v>
      </c>
      <c r="B28">
        <v>1528219</v>
      </c>
      <c r="C28" t="s">
        <v>236</v>
      </c>
    </row>
    <row r="29" spans="1:3" x14ac:dyDescent="0.25">
      <c r="A29" t="s">
        <v>50</v>
      </c>
      <c r="B29">
        <v>1528220</v>
      </c>
      <c r="C29" t="s">
        <v>237</v>
      </c>
    </row>
    <row r="30" spans="1:3" x14ac:dyDescent="0.25">
      <c r="A30" t="s">
        <v>106</v>
      </c>
      <c r="B30">
        <v>1430274</v>
      </c>
      <c r="C30" t="s">
        <v>238</v>
      </c>
    </row>
    <row r="31" spans="1:3" x14ac:dyDescent="0.25">
      <c r="A31" t="s">
        <v>104</v>
      </c>
      <c r="B31">
        <v>1528247</v>
      </c>
      <c r="C31" t="s">
        <v>239</v>
      </c>
    </row>
    <row r="32" spans="1:3" x14ac:dyDescent="0.25">
      <c r="A32" t="s">
        <v>110</v>
      </c>
      <c r="B32">
        <v>1526292</v>
      </c>
      <c r="C32" t="s">
        <v>240</v>
      </c>
    </row>
    <row r="33" spans="1:3" x14ac:dyDescent="0.25">
      <c r="A33" t="s">
        <v>112</v>
      </c>
      <c r="B33">
        <v>1428295</v>
      </c>
      <c r="C33" t="s">
        <v>241</v>
      </c>
    </row>
    <row r="34" spans="1:3" x14ac:dyDescent="0.25">
      <c r="A34" t="s">
        <v>80</v>
      </c>
      <c r="B34">
        <v>1629072</v>
      </c>
      <c r="C34" t="s">
        <v>242</v>
      </c>
    </row>
    <row r="35" spans="1:3" x14ac:dyDescent="0.25">
      <c r="A35" t="s">
        <v>96</v>
      </c>
      <c r="B35">
        <v>1012067</v>
      </c>
      <c r="C35" t="s">
        <v>243</v>
      </c>
    </row>
    <row r="36" spans="1:3" x14ac:dyDescent="0.25">
      <c r="A36" t="s">
        <v>70</v>
      </c>
      <c r="B36">
        <v>1012003</v>
      </c>
      <c r="C36" t="s">
        <v>244</v>
      </c>
    </row>
    <row r="37" spans="1:3" x14ac:dyDescent="0.25">
      <c r="A37" t="s">
        <v>25</v>
      </c>
      <c r="B37">
        <v>1028124</v>
      </c>
      <c r="C37" t="s">
        <v>245</v>
      </c>
    </row>
    <row r="38" spans="1:3" x14ac:dyDescent="0.25">
      <c r="A38" t="s">
        <v>47</v>
      </c>
      <c r="B38">
        <v>1028122</v>
      </c>
      <c r="C38" t="s">
        <v>246</v>
      </c>
    </row>
    <row r="39" spans="1:3" x14ac:dyDescent="0.25">
      <c r="A39" t="s">
        <v>46</v>
      </c>
      <c r="B39">
        <v>1012057</v>
      </c>
      <c r="C39" t="s">
        <v>247</v>
      </c>
    </row>
    <row r="40" spans="1:3" x14ac:dyDescent="0.25">
      <c r="A40" t="s">
        <v>38</v>
      </c>
      <c r="B40">
        <v>1023243</v>
      </c>
      <c r="C40" t="s">
        <v>248</v>
      </c>
    </row>
    <row r="41" spans="1:3" x14ac:dyDescent="0.25">
      <c r="A41" t="s">
        <v>84</v>
      </c>
      <c r="B41">
        <v>1011006</v>
      </c>
      <c r="C41" t="s">
        <v>249</v>
      </c>
    </row>
    <row r="42" spans="1:3" x14ac:dyDescent="0.25">
      <c r="A42" t="s">
        <v>51</v>
      </c>
      <c r="B42">
        <v>1011065</v>
      </c>
      <c r="C42" t="s">
        <v>250</v>
      </c>
    </row>
    <row r="43" spans="1:3" x14ac:dyDescent="0.25">
      <c r="A43" t="s">
        <v>39</v>
      </c>
      <c r="B43">
        <v>1028071</v>
      </c>
      <c r="C43" t="s">
        <v>251</v>
      </c>
    </row>
    <row r="44" spans="1:3" x14ac:dyDescent="0.25">
      <c r="A44" t="s">
        <v>73</v>
      </c>
      <c r="B44">
        <v>1111086</v>
      </c>
      <c r="C44" t="s">
        <v>252</v>
      </c>
    </row>
    <row r="45" spans="1:3" x14ac:dyDescent="0.25">
      <c r="A45" t="s">
        <v>71</v>
      </c>
      <c r="B45">
        <v>1210108</v>
      </c>
      <c r="C45" t="s">
        <v>253</v>
      </c>
    </row>
    <row r="46" spans="1:3" x14ac:dyDescent="0.25">
      <c r="A46" t="s">
        <v>53</v>
      </c>
      <c r="B46">
        <v>1012066</v>
      </c>
      <c r="C46" t="s">
        <v>254</v>
      </c>
    </row>
    <row r="47" spans="1:3" x14ac:dyDescent="0.25">
      <c r="A47" t="s">
        <v>29</v>
      </c>
      <c r="B47">
        <v>1111074</v>
      </c>
      <c r="C47" t="s">
        <v>255</v>
      </c>
    </row>
    <row r="48" spans="1:3" x14ac:dyDescent="0.25">
      <c r="A48" t="s">
        <v>34</v>
      </c>
      <c r="B48">
        <v>1211101</v>
      </c>
      <c r="C48" t="s">
        <v>256</v>
      </c>
    </row>
    <row r="49" spans="1:3" x14ac:dyDescent="0.25">
      <c r="A49" t="s">
        <v>61</v>
      </c>
      <c r="B49">
        <v>1029068</v>
      </c>
      <c r="C49" t="s">
        <v>257</v>
      </c>
    </row>
    <row r="50" spans="1:3" x14ac:dyDescent="0.25">
      <c r="A50" t="s">
        <v>31</v>
      </c>
      <c r="B50">
        <v>1015029</v>
      </c>
      <c r="C50" t="s">
        <v>258</v>
      </c>
    </row>
    <row r="51" spans="1:3" x14ac:dyDescent="0.25">
      <c r="A51" t="s">
        <v>59</v>
      </c>
      <c r="B51">
        <v>1015034</v>
      </c>
      <c r="C51" t="s">
        <v>259</v>
      </c>
    </row>
    <row r="52" spans="1:3" x14ac:dyDescent="0.25">
      <c r="A52" t="s">
        <v>40</v>
      </c>
      <c r="B52">
        <v>1015035</v>
      </c>
      <c r="C52" t="s">
        <v>260</v>
      </c>
    </row>
    <row r="53" spans="1:3" x14ac:dyDescent="0.25">
      <c r="A53" t="s">
        <v>83</v>
      </c>
      <c r="B53">
        <v>1015040</v>
      </c>
      <c r="C53" t="s">
        <v>261</v>
      </c>
    </row>
    <row r="54" spans="1:3" x14ac:dyDescent="0.25">
      <c r="A54" t="s">
        <v>111</v>
      </c>
      <c r="B54">
        <v>1013291</v>
      </c>
      <c r="C54" t="s">
        <v>262</v>
      </c>
    </row>
    <row r="55" spans="1:3" x14ac:dyDescent="0.25">
      <c r="A55" t="s">
        <v>74</v>
      </c>
      <c r="B55">
        <v>1112094</v>
      </c>
      <c r="C55" t="s">
        <v>263</v>
      </c>
    </row>
    <row r="56" spans="1:3" x14ac:dyDescent="0.25">
      <c r="A56" t="s">
        <v>102</v>
      </c>
      <c r="B56">
        <v>1313127</v>
      </c>
      <c r="C56" t="s">
        <v>264</v>
      </c>
    </row>
    <row r="57" spans="1:3" x14ac:dyDescent="0.25">
      <c r="A57" t="s">
        <v>95</v>
      </c>
      <c r="B57">
        <v>1210106</v>
      </c>
      <c r="C57" t="s">
        <v>265</v>
      </c>
    </row>
    <row r="58" spans="1:3" x14ac:dyDescent="0.25">
      <c r="A58" t="s">
        <v>36</v>
      </c>
      <c r="B58">
        <v>1212105</v>
      </c>
      <c r="C58" t="s">
        <v>266</v>
      </c>
    </row>
    <row r="59" spans="1:3" x14ac:dyDescent="0.25">
      <c r="A59" t="s">
        <v>56</v>
      </c>
      <c r="B59">
        <v>1210103</v>
      </c>
      <c r="C59" t="s">
        <v>267</v>
      </c>
    </row>
    <row r="60" spans="1:3" x14ac:dyDescent="0.25">
      <c r="A60" t="s">
        <v>6</v>
      </c>
      <c r="B60">
        <v>1211109</v>
      </c>
      <c r="C60" t="s">
        <v>268</v>
      </c>
    </row>
    <row r="61" spans="1:3" x14ac:dyDescent="0.25">
      <c r="A61" t="s">
        <v>48</v>
      </c>
      <c r="B61">
        <v>1228126</v>
      </c>
      <c r="C61" t="s">
        <v>269</v>
      </c>
    </row>
    <row r="62" spans="1:3" x14ac:dyDescent="0.25">
      <c r="A62" t="s">
        <v>90</v>
      </c>
      <c r="B62">
        <v>1211113</v>
      </c>
      <c r="C62" t="s">
        <v>270</v>
      </c>
    </row>
    <row r="63" spans="1:3" x14ac:dyDescent="0.25">
      <c r="A63" t="s">
        <v>18</v>
      </c>
      <c r="B63">
        <v>1212119</v>
      </c>
      <c r="C63" t="s">
        <v>271</v>
      </c>
    </row>
    <row r="64" spans="1:3" x14ac:dyDescent="0.25">
      <c r="A64" t="s">
        <v>66</v>
      </c>
      <c r="B64">
        <v>1328146</v>
      </c>
      <c r="C64" t="s">
        <v>272</v>
      </c>
    </row>
    <row r="65" spans="1:3" x14ac:dyDescent="0.25">
      <c r="A65" t="s">
        <v>43</v>
      </c>
      <c r="B65">
        <v>1211110</v>
      </c>
      <c r="C65" t="s">
        <v>273</v>
      </c>
    </row>
    <row r="66" spans="1:3" x14ac:dyDescent="0.25">
      <c r="A66" t="s">
        <v>72</v>
      </c>
      <c r="B66">
        <v>1629097</v>
      </c>
      <c r="C66" t="s">
        <v>274</v>
      </c>
    </row>
    <row r="67" spans="1:3" x14ac:dyDescent="0.25">
      <c r="A67" t="s">
        <v>117</v>
      </c>
      <c r="B67">
        <v>1310315</v>
      </c>
      <c r="C67" t="s">
        <v>275</v>
      </c>
    </row>
    <row r="68" spans="1:3" x14ac:dyDescent="0.25">
      <c r="A68" t="s">
        <v>77</v>
      </c>
      <c r="B68">
        <v>1128095</v>
      </c>
      <c r="C68" t="s">
        <v>276</v>
      </c>
    </row>
    <row r="69" spans="1:3" x14ac:dyDescent="0.25">
      <c r="A69" t="s">
        <v>60</v>
      </c>
      <c r="B69">
        <v>1110075</v>
      </c>
      <c r="C69" t="s">
        <v>277</v>
      </c>
    </row>
    <row r="70" spans="1:3" x14ac:dyDescent="0.25">
      <c r="A70" t="s">
        <v>28</v>
      </c>
      <c r="B70">
        <v>1328221</v>
      </c>
      <c r="C70" t="s">
        <v>278</v>
      </c>
    </row>
    <row r="71" spans="1:3" x14ac:dyDescent="0.25">
      <c r="A71" t="s">
        <v>57</v>
      </c>
      <c r="B71">
        <v>1128096</v>
      </c>
      <c r="C71" t="s">
        <v>279</v>
      </c>
    </row>
    <row r="72" spans="1:3" x14ac:dyDescent="0.25">
      <c r="A72" t="s">
        <v>81</v>
      </c>
      <c r="B72">
        <v>1111083</v>
      </c>
      <c r="C72" t="s">
        <v>280</v>
      </c>
    </row>
    <row r="73" spans="1:3" x14ac:dyDescent="0.25">
      <c r="A73" t="s">
        <v>68</v>
      </c>
      <c r="B73">
        <v>1311142</v>
      </c>
      <c r="C73" t="s">
        <v>281</v>
      </c>
    </row>
    <row r="74" spans="1:3" x14ac:dyDescent="0.25">
      <c r="A74" t="s">
        <v>91</v>
      </c>
      <c r="B74">
        <v>1111089</v>
      </c>
      <c r="C74" t="s">
        <v>282</v>
      </c>
    </row>
    <row r="75" spans="1:3" x14ac:dyDescent="0.25">
      <c r="A75" t="s">
        <v>52</v>
      </c>
      <c r="B75">
        <v>1112091</v>
      </c>
      <c r="C75" t="s">
        <v>283</v>
      </c>
    </row>
    <row r="76" spans="1:3" x14ac:dyDescent="0.25">
      <c r="A76" t="s">
        <v>63</v>
      </c>
      <c r="B76">
        <v>1311129</v>
      </c>
      <c r="C76" t="s">
        <v>284</v>
      </c>
    </row>
    <row r="77" spans="1:3" x14ac:dyDescent="0.25">
      <c r="A77" t="s">
        <v>20</v>
      </c>
      <c r="B77">
        <v>1111084</v>
      </c>
      <c r="C77" t="s">
        <v>285</v>
      </c>
    </row>
    <row r="78" spans="1:3" x14ac:dyDescent="0.25">
      <c r="A78" t="s">
        <v>78</v>
      </c>
      <c r="B78">
        <v>1111088</v>
      </c>
      <c r="C78" t="s">
        <v>286</v>
      </c>
    </row>
    <row r="79" spans="1:3" x14ac:dyDescent="0.25">
      <c r="A79" t="s">
        <v>97</v>
      </c>
      <c r="B79">
        <v>1123184</v>
      </c>
      <c r="C79" t="s">
        <v>287</v>
      </c>
    </row>
    <row r="80" spans="1:3" x14ac:dyDescent="0.25">
      <c r="A80" t="s">
        <v>27</v>
      </c>
      <c r="B80">
        <v>1123192</v>
      </c>
      <c r="C80" t="s">
        <v>288</v>
      </c>
    </row>
    <row r="81" spans="1:3" x14ac:dyDescent="0.25">
      <c r="A81" t="s">
        <v>79</v>
      </c>
      <c r="B81">
        <v>1128098</v>
      </c>
      <c r="C81" t="s">
        <v>289</v>
      </c>
    </row>
    <row r="82" spans="1:3" x14ac:dyDescent="0.25">
      <c r="A82" t="s">
        <v>42</v>
      </c>
      <c r="B82">
        <v>1114050</v>
      </c>
      <c r="C82" t="s">
        <v>290</v>
      </c>
    </row>
    <row r="83" spans="1:3" x14ac:dyDescent="0.25">
      <c r="A83" t="s">
        <v>24</v>
      </c>
      <c r="B83">
        <v>1114042</v>
      </c>
      <c r="C83" t="s">
        <v>291</v>
      </c>
    </row>
    <row r="84" spans="1:3" x14ac:dyDescent="0.25">
      <c r="A84" t="s">
        <v>62</v>
      </c>
      <c r="B84">
        <v>1114043</v>
      </c>
      <c r="C84" t="s">
        <v>292</v>
      </c>
    </row>
    <row r="85" spans="1:3" x14ac:dyDescent="0.25">
      <c r="A85" t="s">
        <v>293</v>
      </c>
      <c r="B85">
        <v>1114282</v>
      </c>
      <c r="C85" t="s">
        <v>294</v>
      </c>
    </row>
    <row r="86" spans="1:3" x14ac:dyDescent="0.25">
      <c r="A86" t="s">
        <v>118</v>
      </c>
      <c r="B86">
        <v>1114323</v>
      </c>
      <c r="C86" t="s">
        <v>295</v>
      </c>
    </row>
    <row r="87" spans="1:3" x14ac:dyDescent="0.25">
      <c r="A87" t="s">
        <v>87</v>
      </c>
      <c r="B87">
        <v>1123186</v>
      </c>
      <c r="C87" t="s">
        <v>296</v>
      </c>
    </row>
    <row r="88" spans="1:3" x14ac:dyDescent="0.25">
      <c r="A88" t="s">
        <v>120</v>
      </c>
      <c r="B88">
        <v>1528340</v>
      </c>
      <c r="C88" t="s">
        <v>297</v>
      </c>
    </row>
    <row r="89" spans="1:3" x14ac:dyDescent="0.25">
      <c r="A89" t="s">
        <v>121</v>
      </c>
      <c r="B89">
        <v>1530342</v>
      </c>
      <c r="C89" t="s">
        <v>298</v>
      </c>
    </row>
    <row r="90" spans="1:3" x14ac:dyDescent="0.25">
      <c r="A90" t="s">
        <v>85</v>
      </c>
      <c r="B90">
        <v>1212118</v>
      </c>
      <c r="C90" t="s">
        <v>299</v>
      </c>
    </row>
    <row r="91" spans="1:3" x14ac:dyDescent="0.25">
      <c r="A91" t="s">
        <v>115</v>
      </c>
      <c r="B91">
        <v>1629309</v>
      </c>
      <c r="C91" t="s">
        <v>300</v>
      </c>
    </row>
    <row r="92" spans="1:3" x14ac:dyDescent="0.25">
      <c r="A92" t="s">
        <v>58</v>
      </c>
      <c r="B92">
        <v>1132218</v>
      </c>
      <c r="C92" t="s">
        <v>301</v>
      </c>
    </row>
    <row r="93" spans="1:3" x14ac:dyDescent="0.25">
      <c r="A93" t="s">
        <v>113</v>
      </c>
      <c r="B93">
        <v>1414298</v>
      </c>
      <c r="C93" t="s">
        <v>302</v>
      </c>
    </row>
    <row r="94" spans="1:3" x14ac:dyDescent="0.25">
      <c r="A94" t="s">
        <v>114</v>
      </c>
      <c r="B94">
        <v>1417301</v>
      </c>
      <c r="C94" t="s">
        <v>303</v>
      </c>
    </row>
    <row r="95" spans="1:3" x14ac:dyDescent="0.25">
      <c r="A95" t="s">
        <v>116</v>
      </c>
      <c r="B95">
        <v>1417306</v>
      </c>
      <c r="C95" t="s">
        <v>304</v>
      </c>
    </row>
    <row r="96" spans="1:3" x14ac:dyDescent="0.25">
      <c r="A96" t="s">
        <v>8</v>
      </c>
      <c r="B96">
        <v>1420154</v>
      </c>
      <c r="C96" t="s">
        <v>305</v>
      </c>
    </row>
    <row r="97" spans="1:3" x14ac:dyDescent="0.25">
      <c r="A97" t="s">
        <v>17</v>
      </c>
      <c r="B97">
        <v>1631235</v>
      </c>
      <c r="C97" t="s">
        <v>306</v>
      </c>
    </row>
    <row r="98" spans="1:3" x14ac:dyDescent="0.25">
      <c r="A98" t="s">
        <v>307</v>
      </c>
      <c r="B98">
        <v>1421160</v>
      </c>
      <c r="C98" t="s">
        <v>308</v>
      </c>
    </row>
    <row r="99" spans="1:3" x14ac:dyDescent="0.25">
      <c r="A99" t="s">
        <v>309</v>
      </c>
      <c r="B99">
        <v>1422151</v>
      </c>
      <c r="C99" t="s">
        <v>310</v>
      </c>
    </row>
    <row r="100" spans="1:3" x14ac:dyDescent="0.25">
      <c r="A100" t="s">
        <v>69</v>
      </c>
      <c r="B100">
        <v>1015041</v>
      </c>
      <c r="C100" t="s">
        <v>311</v>
      </c>
    </row>
    <row r="101" spans="1:3" x14ac:dyDescent="0.25">
      <c r="A101" t="s">
        <v>65</v>
      </c>
      <c r="B101">
        <v>1127214</v>
      </c>
      <c r="C101" t="s">
        <v>312</v>
      </c>
    </row>
    <row r="102" spans="1:3" x14ac:dyDescent="0.25">
      <c r="A102" t="s">
        <v>4</v>
      </c>
      <c r="B102">
        <v>1631236</v>
      </c>
      <c r="C102" t="s">
        <v>313</v>
      </c>
    </row>
    <row r="103" spans="1:3" x14ac:dyDescent="0.25">
      <c r="A103" t="s">
        <v>33</v>
      </c>
      <c r="B103">
        <v>1128195</v>
      </c>
      <c r="C103" t="s">
        <v>314</v>
      </c>
    </row>
    <row r="104" spans="1:3" x14ac:dyDescent="0.25">
      <c r="A104" t="s">
        <v>54</v>
      </c>
      <c r="B104">
        <v>1123185</v>
      </c>
      <c r="C104" t="s">
        <v>315</v>
      </c>
    </row>
    <row r="105" spans="1:3" x14ac:dyDescent="0.25">
      <c r="A105" t="s">
        <v>82</v>
      </c>
      <c r="B105">
        <v>1629199</v>
      </c>
      <c r="C105" t="s">
        <v>316</v>
      </c>
    </row>
    <row r="106" spans="1:3" x14ac:dyDescent="0.25">
      <c r="A106" t="s">
        <v>12</v>
      </c>
      <c r="B106">
        <v>1629197</v>
      </c>
      <c r="C106" t="s">
        <v>317</v>
      </c>
    </row>
    <row r="107" spans="1:3" x14ac:dyDescent="0.25">
      <c r="A107" t="s">
        <v>22</v>
      </c>
      <c r="B107">
        <v>1629198</v>
      </c>
      <c r="C107" t="s">
        <v>318</v>
      </c>
    </row>
    <row r="108" spans="1:3" x14ac:dyDescent="0.25">
      <c r="A108" t="s">
        <v>86</v>
      </c>
      <c r="B108">
        <v>1123187</v>
      </c>
      <c r="C108" t="s">
        <v>319</v>
      </c>
    </row>
    <row r="109" spans="1:3" x14ac:dyDescent="0.25">
      <c r="A109" t="s">
        <v>64</v>
      </c>
      <c r="B109">
        <v>1123188</v>
      </c>
      <c r="C109" t="s">
        <v>320</v>
      </c>
    </row>
    <row r="110" spans="1:3" x14ac:dyDescent="0.25">
      <c r="A110" t="s">
        <v>122</v>
      </c>
      <c r="B110">
        <v>1328348</v>
      </c>
      <c r="C110" t="s">
        <v>321</v>
      </c>
    </row>
    <row r="111" spans="1:3" x14ac:dyDescent="0.25">
      <c r="A111" t="s">
        <v>9</v>
      </c>
      <c r="B111">
        <v>1013010</v>
      </c>
      <c r="C111" t="s">
        <v>322</v>
      </c>
    </row>
    <row r="112" spans="1:3" x14ac:dyDescent="0.25">
      <c r="A112" t="s">
        <v>323</v>
      </c>
      <c r="B112">
        <v>1213020</v>
      </c>
      <c r="C112" t="s">
        <v>324</v>
      </c>
    </row>
    <row r="113" spans="1:3" x14ac:dyDescent="0.25">
      <c r="A113" t="s">
        <v>32</v>
      </c>
      <c r="B113">
        <v>1421163</v>
      </c>
      <c r="C113" t="s">
        <v>325</v>
      </c>
    </row>
    <row r="114" spans="1:3" x14ac:dyDescent="0.25">
      <c r="A114" t="s">
        <v>326</v>
      </c>
      <c r="B114">
        <v>1421162</v>
      </c>
      <c r="C114" t="s">
        <v>327</v>
      </c>
    </row>
    <row r="115" spans="1:3" x14ac:dyDescent="0.25">
      <c r="A115" t="s">
        <v>101</v>
      </c>
      <c r="B115">
        <v>1420159</v>
      </c>
      <c r="C115" t="s">
        <v>328</v>
      </c>
    </row>
    <row r="116" spans="1:3" x14ac:dyDescent="0.25">
      <c r="A116" t="s">
        <v>2</v>
      </c>
      <c r="B116">
        <v>1421164</v>
      </c>
      <c r="C116" t="s">
        <v>329</v>
      </c>
    </row>
    <row r="117" spans="1:3" x14ac:dyDescent="0.25">
      <c r="A117" t="s">
        <v>14</v>
      </c>
      <c r="B117">
        <v>1526223</v>
      </c>
      <c r="C117" t="s">
        <v>330</v>
      </c>
    </row>
    <row r="118" spans="1:3" x14ac:dyDescent="0.25">
      <c r="A118" t="s">
        <v>45</v>
      </c>
      <c r="B118">
        <v>1420155</v>
      </c>
      <c r="C118" t="s">
        <v>331</v>
      </c>
    </row>
    <row r="119" spans="1:3" x14ac:dyDescent="0.25">
      <c r="A119" t="s">
        <v>44</v>
      </c>
      <c r="B119">
        <v>1313023</v>
      </c>
      <c r="C119" t="s">
        <v>332</v>
      </c>
    </row>
    <row r="120" spans="1:3" x14ac:dyDescent="0.25">
      <c r="A120" t="s">
        <v>11</v>
      </c>
      <c r="B120">
        <v>1313026</v>
      </c>
      <c r="C120" t="s">
        <v>333</v>
      </c>
    </row>
    <row r="121" spans="1:3" x14ac:dyDescent="0.25">
      <c r="A121" t="s">
        <v>334</v>
      </c>
      <c r="B121">
        <v>1313024</v>
      </c>
      <c r="C121" t="s">
        <v>335</v>
      </c>
    </row>
    <row r="122" spans="1:3" x14ac:dyDescent="0.25">
      <c r="A122" t="s">
        <v>76</v>
      </c>
      <c r="B122">
        <v>1421167</v>
      </c>
      <c r="C122" t="s">
        <v>336</v>
      </c>
    </row>
    <row r="123" spans="1:3" x14ac:dyDescent="0.25">
      <c r="A123" t="s">
        <v>67</v>
      </c>
      <c r="B123">
        <v>1113014</v>
      </c>
      <c r="C123" t="s">
        <v>337</v>
      </c>
    </row>
    <row r="124" spans="1:3" x14ac:dyDescent="0.25">
      <c r="A124" t="s">
        <v>108</v>
      </c>
      <c r="B124">
        <v>1113217</v>
      </c>
      <c r="C124" t="s">
        <v>338</v>
      </c>
    </row>
    <row r="125" spans="1:3" x14ac:dyDescent="0.25">
      <c r="A125" t="s">
        <v>123</v>
      </c>
      <c r="B125">
        <v>1010361</v>
      </c>
      <c r="C125" t="s">
        <v>339</v>
      </c>
    </row>
    <row r="126" spans="1:3" x14ac:dyDescent="0.25">
      <c r="A126" t="s">
        <v>340</v>
      </c>
      <c r="B126">
        <v>1530368</v>
      </c>
      <c r="C126" t="s">
        <v>341</v>
      </c>
    </row>
    <row r="127" spans="1:3" x14ac:dyDescent="0.25">
      <c r="A127" t="s">
        <v>125</v>
      </c>
      <c r="B127">
        <v>1028379</v>
      </c>
      <c r="C127" t="s">
        <v>342</v>
      </c>
    </row>
    <row r="128" spans="1:3" x14ac:dyDescent="0.25">
      <c r="A128" t="s">
        <v>129</v>
      </c>
      <c r="B128">
        <v>1427385</v>
      </c>
      <c r="C128" t="s">
        <v>343</v>
      </c>
    </row>
    <row r="129" spans="1:3" x14ac:dyDescent="0.25">
      <c r="A129" t="s">
        <v>126</v>
      </c>
      <c r="B129">
        <v>1524389</v>
      </c>
      <c r="C129" t="s">
        <v>344</v>
      </c>
    </row>
    <row r="130" spans="1:3" x14ac:dyDescent="0.25">
      <c r="A130" t="s">
        <v>127</v>
      </c>
      <c r="B130">
        <v>1211391</v>
      </c>
      <c r="C130" t="s">
        <v>345</v>
      </c>
    </row>
    <row r="131" spans="1:3" x14ac:dyDescent="0.25">
      <c r="A131" t="s">
        <v>131</v>
      </c>
      <c r="B131">
        <v>1013405</v>
      </c>
      <c r="C131" t="s">
        <v>346</v>
      </c>
    </row>
    <row r="132" spans="1:3" x14ac:dyDescent="0.25">
      <c r="A132" t="s">
        <v>130</v>
      </c>
      <c r="B132">
        <v>1526406</v>
      </c>
      <c r="C132" t="s">
        <v>347</v>
      </c>
    </row>
    <row r="133" spans="1:3" x14ac:dyDescent="0.25">
      <c r="A133" t="s">
        <v>132</v>
      </c>
      <c r="B133">
        <v>1313403</v>
      </c>
      <c r="C133" t="s">
        <v>348</v>
      </c>
    </row>
    <row r="134" spans="1:3" x14ac:dyDescent="0.25">
      <c r="A134" t="s">
        <v>133</v>
      </c>
      <c r="B134">
        <v>1524412</v>
      </c>
      <c r="C134" t="s">
        <v>349</v>
      </c>
    </row>
    <row r="135" spans="1:3" x14ac:dyDescent="0.25">
      <c r="A135" t="s">
        <v>134</v>
      </c>
      <c r="B135">
        <v>1012413</v>
      </c>
      <c r="C135" t="s">
        <v>350</v>
      </c>
    </row>
    <row r="136" spans="1:3" x14ac:dyDescent="0.25">
      <c r="A136" t="s">
        <v>135</v>
      </c>
      <c r="B136">
        <v>1417414</v>
      </c>
      <c r="C136" t="s">
        <v>351</v>
      </c>
    </row>
    <row r="137" spans="1:3" x14ac:dyDescent="0.25">
      <c r="A137" t="s">
        <v>138</v>
      </c>
      <c r="B137">
        <v>1011425</v>
      </c>
      <c r="C137" t="s">
        <v>352</v>
      </c>
    </row>
    <row r="138" spans="1:3" x14ac:dyDescent="0.25">
      <c r="A138" t="s">
        <v>137</v>
      </c>
      <c r="B138">
        <v>1015424</v>
      </c>
      <c r="C138" t="s">
        <v>353</v>
      </c>
    </row>
    <row r="139" spans="1:3" x14ac:dyDescent="0.25">
      <c r="A139" t="s">
        <v>140</v>
      </c>
      <c r="B139">
        <v>1123432</v>
      </c>
      <c r="C139" t="s">
        <v>354</v>
      </c>
    </row>
    <row r="140" spans="1:3" x14ac:dyDescent="0.25">
      <c r="A140" t="s">
        <v>139</v>
      </c>
      <c r="B140">
        <v>1029431</v>
      </c>
      <c r="C140" t="s">
        <v>355</v>
      </c>
    </row>
    <row r="141" spans="1:3" x14ac:dyDescent="0.25">
      <c r="A141" t="s">
        <v>141</v>
      </c>
      <c r="B141">
        <v>1114446</v>
      </c>
      <c r="C141" t="s">
        <v>356</v>
      </c>
    </row>
    <row r="142" spans="1:3" x14ac:dyDescent="0.25">
      <c r="A142" t="s">
        <v>142</v>
      </c>
      <c r="B142">
        <v>1214449</v>
      </c>
      <c r="C142" t="s">
        <v>357</v>
      </c>
    </row>
    <row r="143" spans="1:3" x14ac:dyDescent="0.25">
      <c r="A143" t="s">
        <v>358</v>
      </c>
      <c r="B143">
        <v>1211452</v>
      </c>
      <c r="C143" t="s">
        <v>359</v>
      </c>
    </row>
    <row r="144" spans="1:3" x14ac:dyDescent="0.25">
      <c r="A144" t="s">
        <v>144</v>
      </c>
      <c r="B144">
        <v>1228457</v>
      </c>
      <c r="C144" t="s">
        <v>360</v>
      </c>
    </row>
    <row r="145" spans="1:3" x14ac:dyDescent="0.25">
      <c r="A145" t="s">
        <v>145</v>
      </c>
      <c r="B145">
        <v>1416463</v>
      </c>
      <c r="C145" t="s">
        <v>361</v>
      </c>
    </row>
    <row r="146" spans="1:3" x14ac:dyDescent="0.25">
      <c r="A146" t="s">
        <v>148</v>
      </c>
      <c r="B146">
        <v>1416466</v>
      </c>
      <c r="C146" t="s">
        <v>362</v>
      </c>
    </row>
    <row r="147" spans="1:3" x14ac:dyDescent="0.25">
      <c r="A147" t="s">
        <v>180</v>
      </c>
      <c r="B147">
        <v>1013469</v>
      </c>
      <c r="C147" t="s">
        <v>363</v>
      </c>
    </row>
    <row r="148" spans="1:3" x14ac:dyDescent="0.25">
      <c r="A148" t="s">
        <v>149</v>
      </c>
      <c r="B148">
        <v>1420472</v>
      </c>
      <c r="C148" t="s">
        <v>364</v>
      </c>
    </row>
    <row r="149" spans="1:3" x14ac:dyDescent="0.25">
      <c r="A149" t="s">
        <v>150</v>
      </c>
      <c r="B149">
        <v>1123473</v>
      </c>
      <c r="C149" t="s">
        <v>365</v>
      </c>
    </row>
    <row r="150" spans="1:3" x14ac:dyDescent="0.25">
      <c r="A150" t="s">
        <v>151</v>
      </c>
      <c r="B150">
        <v>1010475</v>
      </c>
      <c r="C150" t="s">
        <v>366</v>
      </c>
    </row>
    <row r="151" spans="1:3" x14ac:dyDescent="0.25">
      <c r="A151" t="s">
        <v>152</v>
      </c>
      <c r="B151">
        <v>1310476</v>
      </c>
      <c r="C151" t="s">
        <v>367</v>
      </c>
    </row>
    <row r="152" spans="1:3" x14ac:dyDescent="0.25">
      <c r="A152" t="s">
        <v>368</v>
      </c>
      <c r="B152">
        <v>1211478</v>
      </c>
      <c r="C152" t="s">
        <v>369</v>
      </c>
    </row>
    <row r="153" spans="1:3" x14ac:dyDescent="0.25">
      <c r="A153" t="s">
        <v>154</v>
      </c>
      <c r="B153">
        <v>1417479</v>
      </c>
      <c r="C153" t="s">
        <v>370</v>
      </c>
    </row>
    <row r="154" spans="1:3" x14ac:dyDescent="0.25">
      <c r="A154" t="s">
        <v>155</v>
      </c>
      <c r="B154">
        <v>1429483</v>
      </c>
      <c r="C154" t="s">
        <v>371</v>
      </c>
    </row>
    <row r="155" spans="1:3" x14ac:dyDescent="0.25">
      <c r="A155" t="s">
        <v>156</v>
      </c>
      <c r="B155">
        <v>1420484</v>
      </c>
      <c r="C155" t="s">
        <v>372</v>
      </c>
    </row>
    <row r="156" spans="1:3" x14ac:dyDescent="0.25">
      <c r="A156" t="s">
        <v>157</v>
      </c>
      <c r="B156">
        <v>1530490</v>
      </c>
      <c r="C156" t="s">
        <v>373</v>
      </c>
    </row>
    <row r="157" spans="1:3" x14ac:dyDescent="0.25">
      <c r="A157" t="s">
        <v>158</v>
      </c>
      <c r="B157">
        <v>1313493</v>
      </c>
      <c r="C157" t="s">
        <v>374</v>
      </c>
    </row>
    <row r="158" spans="1:3" x14ac:dyDescent="0.25">
      <c r="A158" t="s">
        <v>159</v>
      </c>
      <c r="B158">
        <v>1528494</v>
      </c>
      <c r="C158" t="s">
        <v>375</v>
      </c>
    </row>
    <row r="159" spans="1:3" x14ac:dyDescent="0.25">
      <c r="A159" t="s">
        <v>160</v>
      </c>
      <c r="B159">
        <v>1417499</v>
      </c>
      <c r="C159" t="s">
        <v>376</v>
      </c>
    </row>
    <row r="160" spans="1:3" x14ac:dyDescent="0.25">
      <c r="A160" t="s">
        <v>377</v>
      </c>
      <c r="B160">
        <v>1015504</v>
      </c>
      <c r="C160" t="s">
        <v>378</v>
      </c>
    </row>
    <row r="161" spans="1:3" x14ac:dyDescent="0.25">
      <c r="A161" t="s">
        <v>165</v>
      </c>
      <c r="B161">
        <v>1310511</v>
      </c>
      <c r="C161" t="s">
        <v>379</v>
      </c>
    </row>
    <row r="162" spans="1:3" x14ac:dyDescent="0.25">
      <c r="A162" t="s">
        <v>163</v>
      </c>
      <c r="B162">
        <v>1011509</v>
      </c>
      <c r="C162" t="s">
        <v>380</v>
      </c>
    </row>
    <row r="163" spans="1:3" x14ac:dyDescent="0.25">
      <c r="A163" t="s">
        <v>166</v>
      </c>
      <c r="B163">
        <v>1311510</v>
      </c>
      <c r="C163" t="s">
        <v>381</v>
      </c>
    </row>
    <row r="164" spans="1:3" x14ac:dyDescent="0.25">
      <c r="A164" t="s">
        <v>164</v>
      </c>
      <c r="B164">
        <v>1210512</v>
      </c>
      <c r="C164" t="s">
        <v>382</v>
      </c>
    </row>
    <row r="165" spans="1:3" x14ac:dyDescent="0.25">
      <c r="A165" t="s">
        <v>167</v>
      </c>
      <c r="B165">
        <v>1228509</v>
      </c>
      <c r="C165" t="s">
        <v>383</v>
      </c>
    </row>
    <row r="166" spans="1:3" x14ac:dyDescent="0.25">
      <c r="A166" t="s">
        <v>168</v>
      </c>
      <c r="B166">
        <v>1528511</v>
      </c>
      <c r="C166" t="s">
        <v>384</v>
      </c>
    </row>
    <row r="167" spans="1:3" x14ac:dyDescent="0.25">
      <c r="A167" t="s">
        <v>146</v>
      </c>
      <c r="B167">
        <v>1528516</v>
      </c>
      <c r="C167" t="s">
        <v>385</v>
      </c>
    </row>
    <row r="168" spans="1:3" x14ac:dyDescent="0.25">
      <c r="A168" t="s">
        <v>169</v>
      </c>
      <c r="B168">
        <v>1211518</v>
      </c>
      <c r="C168" t="s">
        <v>386</v>
      </c>
    </row>
    <row r="169" spans="1:3" x14ac:dyDescent="0.25">
      <c r="A169" t="s">
        <v>147</v>
      </c>
      <c r="B169">
        <v>1530519</v>
      </c>
      <c r="C169" t="s">
        <v>387</v>
      </c>
    </row>
    <row r="170" spans="1:3" x14ac:dyDescent="0.25">
      <c r="A170" t="s">
        <v>171</v>
      </c>
      <c r="B170">
        <v>1427524</v>
      </c>
      <c r="C170" t="s">
        <v>388</v>
      </c>
    </row>
    <row r="171" spans="1:3" x14ac:dyDescent="0.25">
      <c r="A171" t="s">
        <v>182</v>
      </c>
      <c r="B171">
        <v>1013525</v>
      </c>
      <c r="C171" t="s">
        <v>389</v>
      </c>
    </row>
    <row r="172" spans="1:3" x14ac:dyDescent="0.25">
      <c r="A172" t="s">
        <v>183</v>
      </c>
      <c r="B172">
        <v>1011526</v>
      </c>
      <c r="C172" t="s">
        <v>390</v>
      </c>
    </row>
    <row r="173" spans="1:3" x14ac:dyDescent="0.25">
      <c r="A173" t="s">
        <v>172</v>
      </c>
      <c r="B173">
        <v>1418528</v>
      </c>
      <c r="C173" t="s">
        <v>391</v>
      </c>
    </row>
    <row r="174" spans="1:3" x14ac:dyDescent="0.25">
      <c r="A174" t="s">
        <v>184</v>
      </c>
      <c r="B174">
        <v>1011529</v>
      </c>
      <c r="C174" t="s">
        <v>392</v>
      </c>
    </row>
    <row r="175" spans="1:3" x14ac:dyDescent="0.25">
      <c r="A175" t="s">
        <v>173</v>
      </c>
      <c r="B175">
        <v>1418532</v>
      </c>
      <c r="C175" t="s">
        <v>393</v>
      </c>
    </row>
    <row r="176" spans="1:3" x14ac:dyDescent="0.25">
      <c r="A176" t="s">
        <v>394</v>
      </c>
      <c r="B176">
        <v>9000001</v>
      </c>
      <c r="C176" t="s">
        <v>395</v>
      </c>
    </row>
    <row r="177" spans="1:3" x14ac:dyDescent="0.25">
      <c r="A177" t="s">
        <v>396</v>
      </c>
      <c r="B177">
        <v>9000002</v>
      </c>
      <c r="C177" t="s">
        <v>397</v>
      </c>
    </row>
    <row r="178" spans="1:3" x14ac:dyDescent="0.25">
      <c r="A178" t="s">
        <v>398</v>
      </c>
      <c r="B178">
        <v>1310536</v>
      </c>
      <c r="C178" t="s">
        <v>399</v>
      </c>
    </row>
    <row r="179" spans="1:3" x14ac:dyDescent="0.25">
      <c r="A179" t="s">
        <v>174</v>
      </c>
      <c r="B179">
        <v>1526537</v>
      </c>
      <c r="C179" t="s">
        <v>400</v>
      </c>
    </row>
    <row r="180" spans="1:3" x14ac:dyDescent="0.25">
      <c r="A180" t="s">
        <v>175</v>
      </c>
      <c r="B180">
        <v>1418544</v>
      </c>
      <c r="C180" t="s">
        <v>401</v>
      </c>
    </row>
    <row r="181" spans="1:3" x14ac:dyDescent="0.25">
      <c r="A181" t="s">
        <v>176</v>
      </c>
      <c r="B181">
        <v>1420549</v>
      </c>
      <c r="C181" t="s">
        <v>402</v>
      </c>
    </row>
    <row r="182" spans="1:3" x14ac:dyDescent="0.25">
      <c r="A182" t="s">
        <v>193</v>
      </c>
      <c r="B182">
        <v>1310553</v>
      </c>
      <c r="C182" t="s">
        <v>403</v>
      </c>
    </row>
    <row r="183" spans="1:3" x14ac:dyDescent="0.25">
      <c r="A183" t="s">
        <v>194</v>
      </c>
      <c r="B183">
        <v>1210555</v>
      </c>
      <c r="C183" t="s">
        <v>404</v>
      </c>
    </row>
    <row r="184" spans="1:3" x14ac:dyDescent="0.25">
      <c r="A184" t="s">
        <v>196</v>
      </c>
      <c r="B184">
        <v>1114558</v>
      </c>
      <c r="C184" t="s">
        <v>405</v>
      </c>
    </row>
    <row r="185" spans="1:3" x14ac:dyDescent="0.25">
      <c r="A185" t="s">
        <v>195</v>
      </c>
      <c r="B185">
        <v>1310559</v>
      </c>
      <c r="C185" t="s">
        <v>406</v>
      </c>
    </row>
    <row r="186" spans="1:3" x14ac:dyDescent="0.25">
      <c r="A186" t="s">
        <v>198</v>
      </c>
      <c r="B186">
        <v>1013562</v>
      </c>
      <c r="C186" t="s">
        <v>407</v>
      </c>
    </row>
    <row r="187" spans="1:3" x14ac:dyDescent="0.25">
      <c r="A187" t="s">
        <v>177</v>
      </c>
      <c r="B187">
        <v>1417563</v>
      </c>
      <c r="C187" t="s">
        <v>408</v>
      </c>
    </row>
    <row r="188" spans="1:3" x14ac:dyDescent="0.25">
      <c r="A188" t="s">
        <v>200</v>
      </c>
      <c r="B188">
        <v>1010565</v>
      </c>
      <c r="C188" t="s">
        <v>409</v>
      </c>
    </row>
    <row r="189" spans="1:3" x14ac:dyDescent="0.25">
      <c r="A189" t="s">
        <v>201</v>
      </c>
      <c r="B189">
        <v>1213567</v>
      </c>
      <c r="C189" t="s">
        <v>410</v>
      </c>
    </row>
    <row r="190" spans="1:3" x14ac:dyDescent="0.25">
      <c r="A190" t="s">
        <v>178</v>
      </c>
      <c r="B190">
        <v>1418566</v>
      </c>
      <c r="C190" t="s">
        <v>411</v>
      </c>
    </row>
    <row r="191" spans="1:3" x14ac:dyDescent="0.25">
      <c r="A191" t="s">
        <v>179</v>
      </c>
      <c r="B191">
        <v>1123570</v>
      </c>
      <c r="C191" t="s">
        <v>412</v>
      </c>
    </row>
    <row r="192" spans="1:3" x14ac:dyDescent="0.25">
      <c r="A192" t="s">
        <v>202</v>
      </c>
      <c r="B192">
        <v>1311569</v>
      </c>
      <c r="C192" t="s">
        <v>413</v>
      </c>
    </row>
    <row r="193" spans="1:3" x14ac:dyDescent="0.25">
      <c r="A193" t="s">
        <v>414</v>
      </c>
      <c r="B193">
        <v>1310572</v>
      </c>
      <c r="C193" t="s">
        <v>415</v>
      </c>
    </row>
    <row r="194" spans="1:3" x14ac:dyDescent="0.25">
      <c r="A194" t="s">
        <v>416</v>
      </c>
      <c r="B194">
        <v>1211571</v>
      </c>
      <c r="C194" t="s">
        <v>417</v>
      </c>
    </row>
    <row r="195" spans="1:3" x14ac:dyDescent="0.25">
      <c r="A195" t="s">
        <v>418</v>
      </c>
      <c r="B195">
        <v>1417573</v>
      </c>
      <c r="C195" t="s">
        <v>419</v>
      </c>
    </row>
    <row r="196" spans="1:3" x14ac:dyDescent="0.25">
      <c r="A196" t="s">
        <v>420</v>
      </c>
      <c r="B196">
        <v>1114575</v>
      </c>
      <c r="C196" t="s">
        <v>421</v>
      </c>
    </row>
    <row r="197" spans="1:3" x14ac:dyDescent="0.25">
      <c r="A197" t="s">
        <v>422</v>
      </c>
      <c r="B197">
        <v>1033577</v>
      </c>
      <c r="C197" t="s">
        <v>423</v>
      </c>
    </row>
    <row r="198" spans="1:3" x14ac:dyDescent="0.25">
      <c r="A198" t="s">
        <v>424</v>
      </c>
      <c r="B198">
        <v>1013578</v>
      </c>
      <c r="C198" t="s">
        <v>425</v>
      </c>
    </row>
    <row r="199" spans="1:3" x14ac:dyDescent="0.25">
      <c r="A199" t="s">
        <v>426</v>
      </c>
      <c r="B199">
        <v>1723579</v>
      </c>
      <c r="C199" t="s">
        <v>415</v>
      </c>
    </row>
    <row r="200" spans="1:3" x14ac:dyDescent="0.25">
      <c r="A200" t="s">
        <v>427</v>
      </c>
      <c r="B200">
        <v>1013580</v>
      </c>
      <c r="C200" t="s">
        <v>415</v>
      </c>
    </row>
    <row r="201" spans="1:3" x14ac:dyDescent="0.25">
      <c r="A201" t="s">
        <v>428</v>
      </c>
      <c r="B201">
        <v>1012581</v>
      </c>
      <c r="C201" t="s">
        <v>429</v>
      </c>
    </row>
    <row r="202" spans="1:3" x14ac:dyDescent="0.25">
      <c r="A202" t="s">
        <v>430</v>
      </c>
      <c r="B202">
        <v>1033585</v>
      </c>
      <c r="C202" t="s">
        <v>431</v>
      </c>
    </row>
    <row r="203" spans="1:3" x14ac:dyDescent="0.25">
      <c r="A203" t="s">
        <v>432</v>
      </c>
      <c r="B203">
        <v>1310582</v>
      </c>
      <c r="C203" t="s">
        <v>415</v>
      </c>
    </row>
    <row r="204" spans="1:3" x14ac:dyDescent="0.25">
      <c r="A204" t="s">
        <v>433</v>
      </c>
      <c r="B204">
        <v>1718584</v>
      </c>
      <c r="C204" t="s">
        <v>415</v>
      </c>
    </row>
    <row r="205" spans="1:3" x14ac:dyDescent="0.25">
      <c r="A205" t="s">
        <v>434</v>
      </c>
      <c r="B205">
        <v>1438583</v>
      </c>
      <c r="C205" t="s">
        <v>435</v>
      </c>
    </row>
    <row r="206" spans="1:3" x14ac:dyDescent="0.25">
      <c r="A206" t="s">
        <v>436</v>
      </c>
      <c r="B206">
        <v>1431586</v>
      </c>
      <c r="C206" t="s">
        <v>415</v>
      </c>
    </row>
    <row r="207" spans="1:3" x14ac:dyDescent="0.25">
      <c r="A207" t="s">
        <v>437</v>
      </c>
      <c r="B207">
        <v>1313587</v>
      </c>
      <c r="C207" t="s">
        <v>415</v>
      </c>
    </row>
    <row r="208" spans="1:3" x14ac:dyDescent="0.25">
      <c r="A208" t="s">
        <v>438</v>
      </c>
      <c r="B208">
        <v>1010588</v>
      </c>
      <c r="C208" t="s">
        <v>415</v>
      </c>
    </row>
    <row r="209" spans="1:3" x14ac:dyDescent="0.25">
      <c r="A209" t="s">
        <v>439</v>
      </c>
      <c r="B209">
        <v>1420589</v>
      </c>
      <c r="C20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 (2)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Carlos Guzmán</cp:lastModifiedBy>
  <dcterms:created xsi:type="dcterms:W3CDTF">2025-02-07T21:20:39Z</dcterms:created>
  <dcterms:modified xsi:type="dcterms:W3CDTF">2026-10-14T14:37:41Z</dcterms:modified>
</cp:coreProperties>
</file>